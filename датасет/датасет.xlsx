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OneDrive\Робочий стіл\датасет\"/>
    </mc:Choice>
  </mc:AlternateContent>
  <xr:revisionPtr revIDLastSave="0" documentId="13_ncr:1_{E47175BE-057D-4C97-9A57-10E2DDFC51D5}" xr6:coauthVersionLast="47" xr6:coauthVersionMax="47" xr10:uidLastSave="{00000000-0000-0000-0000-000000000000}"/>
  <bookViews>
    <workbookView xWindow="-108" yWindow="-108" windowWidth="23256" windowHeight="12456" tabRatio="500" activeTab="7" xr2:uid="{00000000-000D-0000-FFFF-FFFF00000000}"/>
  </bookViews>
  <sheets>
    <sheet name="dataset" sheetId="2" r:id="rId1"/>
    <sheet name="goods" sheetId="3" r:id="rId2"/>
    <sheet name="category" sheetId="4" r:id="rId3"/>
    <sheet name="brand" sheetId="5" r:id="rId4"/>
    <sheet name="store" sheetId="6" r:id="rId5"/>
    <sheet name="calendar" sheetId="7" r:id="rId6"/>
    <sheet name="promotions" sheetId="8" r:id="rId7"/>
    <sheet name="marketplace" sheetId="9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01" i="7" l="1"/>
  <c r="D101" i="7"/>
  <c r="E100" i="7"/>
  <c r="D100" i="7"/>
  <c r="E99" i="7"/>
  <c r="D99" i="7"/>
  <c r="E98" i="7"/>
  <c r="D98" i="7"/>
  <c r="E97" i="7"/>
  <c r="D97" i="7"/>
  <c r="E96" i="7"/>
  <c r="D96" i="7"/>
  <c r="E95" i="7"/>
  <c r="D95" i="7"/>
  <c r="E94" i="7"/>
  <c r="D94" i="7"/>
  <c r="E93" i="7"/>
  <c r="D93" i="7"/>
  <c r="E92" i="7"/>
  <c r="D92" i="7"/>
  <c r="E91" i="7"/>
  <c r="D91" i="7"/>
  <c r="E90" i="7"/>
  <c r="D90" i="7"/>
  <c r="E89" i="7"/>
  <c r="D89" i="7"/>
  <c r="E88" i="7"/>
  <c r="D88" i="7"/>
  <c r="E87" i="7"/>
  <c r="D87" i="7"/>
  <c r="E86" i="7"/>
  <c r="D86" i="7"/>
  <c r="E85" i="7"/>
  <c r="D85" i="7"/>
  <c r="E84" i="7"/>
  <c r="D84" i="7"/>
  <c r="E83" i="7"/>
  <c r="D83" i="7"/>
  <c r="E82" i="7"/>
  <c r="D82" i="7"/>
  <c r="E81" i="7"/>
  <c r="D81" i="7"/>
  <c r="E80" i="7"/>
  <c r="D80" i="7"/>
  <c r="E79" i="7"/>
  <c r="D79" i="7"/>
  <c r="E78" i="7"/>
  <c r="D78" i="7"/>
  <c r="E77" i="7"/>
  <c r="D77" i="7"/>
  <c r="E76" i="7"/>
  <c r="D76" i="7"/>
  <c r="E75" i="7"/>
  <c r="D75" i="7"/>
  <c r="E74" i="7"/>
  <c r="D74" i="7"/>
  <c r="E73" i="7"/>
  <c r="D73" i="7"/>
  <c r="E72" i="7"/>
  <c r="D72" i="7"/>
  <c r="E71" i="7"/>
  <c r="D71" i="7"/>
  <c r="E70" i="7"/>
  <c r="D70" i="7"/>
  <c r="E69" i="7"/>
  <c r="D69" i="7"/>
  <c r="E68" i="7"/>
  <c r="D68" i="7"/>
  <c r="E67" i="7"/>
  <c r="D67" i="7"/>
  <c r="E66" i="7"/>
  <c r="D66" i="7"/>
  <c r="E65" i="7"/>
  <c r="D65" i="7"/>
  <c r="E64" i="7"/>
  <c r="D64" i="7"/>
  <c r="E63" i="7"/>
  <c r="D63" i="7"/>
  <c r="E62" i="7"/>
  <c r="D62" i="7"/>
  <c r="E61" i="7"/>
  <c r="D61" i="7"/>
  <c r="E60" i="7"/>
  <c r="D60" i="7"/>
  <c r="E59" i="7"/>
  <c r="D59" i="7"/>
  <c r="E58" i="7"/>
  <c r="D58" i="7"/>
  <c r="E57" i="7"/>
  <c r="D57" i="7"/>
  <c r="E56" i="7"/>
  <c r="D56" i="7"/>
  <c r="E55" i="7"/>
  <c r="D55" i="7"/>
  <c r="E54" i="7"/>
  <c r="D54" i="7"/>
  <c r="E53" i="7"/>
  <c r="D53" i="7"/>
  <c r="E52" i="7"/>
  <c r="D52" i="7"/>
  <c r="E51" i="7"/>
  <c r="D51" i="7"/>
  <c r="E50" i="7"/>
  <c r="D50" i="7"/>
  <c r="E49" i="7"/>
  <c r="D49" i="7"/>
  <c r="E48" i="7"/>
  <c r="D48" i="7"/>
  <c r="E47" i="7"/>
  <c r="D47" i="7"/>
  <c r="E46" i="7"/>
  <c r="D46" i="7"/>
  <c r="E45" i="7"/>
  <c r="D45" i="7"/>
  <c r="E44" i="7"/>
  <c r="D44" i="7"/>
  <c r="E43" i="7"/>
  <c r="D43" i="7"/>
  <c r="E42" i="7"/>
  <c r="D42" i="7"/>
  <c r="E41" i="7"/>
  <c r="D41" i="7"/>
  <c r="E40" i="7"/>
  <c r="D40" i="7"/>
  <c r="E39" i="7"/>
  <c r="D39" i="7"/>
  <c r="E38" i="7"/>
  <c r="D38" i="7"/>
  <c r="E37" i="7"/>
  <c r="D37" i="7"/>
  <c r="E36" i="7"/>
  <c r="D36" i="7"/>
  <c r="E35" i="7"/>
  <c r="D35" i="7"/>
  <c r="E34" i="7"/>
  <c r="D34" i="7"/>
  <c r="E33" i="7"/>
  <c r="D33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3" i="7"/>
  <c r="D3" i="7"/>
  <c r="E2" i="7"/>
  <c r="D2" i="7"/>
  <c r="J101" i="2"/>
  <c r="I101" i="2"/>
  <c r="G101" i="2"/>
  <c r="J100" i="2"/>
  <c r="I100" i="2"/>
  <c r="G100" i="2"/>
  <c r="J99" i="2"/>
  <c r="I99" i="2"/>
  <c r="G99" i="2"/>
  <c r="J98" i="2"/>
  <c r="I98" i="2"/>
  <c r="G98" i="2"/>
  <c r="J97" i="2"/>
  <c r="I97" i="2"/>
  <c r="G97" i="2"/>
  <c r="J96" i="2"/>
  <c r="I96" i="2"/>
  <c r="G96" i="2"/>
  <c r="J95" i="2"/>
  <c r="I95" i="2"/>
  <c r="G95" i="2"/>
  <c r="J94" i="2"/>
  <c r="I94" i="2"/>
  <c r="G94" i="2"/>
  <c r="J93" i="2"/>
  <c r="I93" i="2"/>
  <c r="G93" i="2"/>
  <c r="J92" i="2"/>
  <c r="I92" i="2"/>
  <c r="G92" i="2"/>
  <c r="J91" i="2"/>
  <c r="I91" i="2"/>
  <c r="G91" i="2"/>
  <c r="J90" i="2"/>
  <c r="I90" i="2"/>
  <c r="G90" i="2"/>
  <c r="J89" i="2"/>
  <c r="I89" i="2"/>
  <c r="G89" i="2"/>
  <c r="J88" i="2"/>
  <c r="I88" i="2"/>
  <c r="G88" i="2"/>
  <c r="J87" i="2"/>
  <c r="I87" i="2"/>
  <c r="G87" i="2"/>
  <c r="J86" i="2"/>
  <c r="I86" i="2"/>
  <c r="G86" i="2"/>
  <c r="J85" i="2"/>
  <c r="I85" i="2"/>
  <c r="G85" i="2"/>
  <c r="J84" i="2"/>
  <c r="I84" i="2"/>
  <c r="G84" i="2"/>
  <c r="J83" i="2"/>
  <c r="I83" i="2"/>
  <c r="G83" i="2"/>
  <c r="J82" i="2"/>
  <c r="I82" i="2"/>
  <c r="G82" i="2"/>
  <c r="J81" i="2"/>
  <c r="I81" i="2"/>
  <c r="G81" i="2"/>
  <c r="J80" i="2"/>
  <c r="I80" i="2"/>
  <c r="G80" i="2"/>
  <c r="J79" i="2"/>
  <c r="I79" i="2"/>
  <c r="G79" i="2"/>
  <c r="J78" i="2"/>
  <c r="I78" i="2"/>
  <c r="G78" i="2"/>
  <c r="J77" i="2"/>
  <c r="I77" i="2"/>
  <c r="G77" i="2"/>
  <c r="J76" i="2"/>
  <c r="I76" i="2"/>
  <c r="G76" i="2"/>
  <c r="J75" i="2"/>
  <c r="I75" i="2"/>
  <c r="G75" i="2"/>
  <c r="J74" i="2"/>
  <c r="I74" i="2"/>
  <c r="G74" i="2"/>
  <c r="J73" i="2"/>
  <c r="I73" i="2"/>
  <c r="G73" i="2"/>
  <c r="J72" i="2"/>
  <c r="I72" i="2"/>
  <c r="G72" i="2"/>
  <c r="J71" i="2"/>
  <c r="I71" i="2"/>
  <c r="G71" i="2"/>
  <c r="J70" i="2"/>
  <c r="I70" i="2"/>
  <c r="G70" i="2"/>
  <c r="J69" i="2"/>
  <c r="I69" i="2"/>
  <c r="G69" i="2"/>
  <c r="J68" i="2"/>
  <c r="I68" i="2"/>
  <c r="G68" i="2"/>
  <c r="J67" i="2"/>
  <c r="I67" i="2"/>
  <c r="G67" i="2"/>
  <c r="J66" i="2"/>
  <c r="I66" i="2"/>
  <c r="G66" i="2"/>
  <c r="J65" i="2"/>
  <c r="I65" i="2"/>
  <c r="G65" i="2"/>
  <c r="J64" i="2"/>
  <c r="I64" i="2"/>
  <c r="G64" i="2"/>
  <c r="J63" i="2"/>
  <c r="I63" i="2"/>
  <c r="G63" i="2"/>
  <c r="J62" i="2"/>
  <c r="I62" i="2"/>
  <c r="G62" i="2"/>
  <c r="J61" i="2"/>
  <c r="I61" i="2"/>
  <c r="G61" i="2"/>
  <c r="J60" i="2"/>
  <c r="I60" i="2"/>
  <c r="G60" i="2"/>
  <c r="J59" i="2"/>
  <c r="I59" i="2"/>
  <c r="G59" i="2"/>
  <c r="J58" i="2"/>
  <c r="I58" i="2"/>
  <c r="G58" i="2"/>
  <c r="J57" i="2"/>
  <c r="I57" i="2"/>
  <c r="G57" i="2"/>
  <c r="J56" i="2"/>
  <c r="I56" i="2"/>
  <c r="G56" i="2"/>
  <c r="J55" i="2"/>
  <c r="I55" i="2"/>
  <c r="G55" i="2"/>
  <c r="J54" i="2"/>
  <c r="I54" i="2"/>
  <c r="G54" i="2"/>
  <c r="J53" i="2"/>
  <c r="I53" i="2"/>
  <c r="G53" i="2"/>
  <c r="J52" i="2"/>
  <c r="I52" i="2"/>
  <c r="G52" i="2"/>
  <c r="J51" i="2"/>
  <c r="I51" i="2"/>
  <c r="G51" i="2"/>
  <c r="J50" i="2"/>
  <c r="I50" i="2"/>
  <c r="G50" i="2"/>
  <c r="J49" i="2"/>
  <c r="I49" i="2"/>
  <c r="G49" i="2"/>
  <c r="J48" i="2"/>
  <c r="I48" i="2"/>
  <c r="G48" i="2"/>
  <c r="J47" i="2"/>
  <c r="I47" i="2"/>
  <c r="G47" i="2"/>
  <c r="J46" i="2"/>
  <c r="I46" i="2"/>
  <c r="G46" i="2"/>
  <c r="J45" i="2"/>
  <c r="I45" i="2"/>
  <c r="G45" i="2"/>
  <c r="J44" i="2"/>
  <c r="I44" i="2"/>
  <c r="G44" i="2"/>
  <c r="J43" i="2"/>
  <c r="I43" i="2"/>
  <c r="G43" i="2"/>
  <c r="J42" i="2"/>
  <c r="I42" i="2"/>
  <c r="G42" i="2"/>
  <c r="J41" i="2"/>
  <c r="I41" i="2"/>
  <c r="G41" i="2"/>
  <c r="J40" i="2"/>
  <c r="I40" i="2"/>
  <c r="G40" i="2"/>
  <c r="J39" i="2"/>
  <c r="I39" i="2"/>
  <c r="G39" i="2"/>
  <c r="J38" i="2"/>
  <c r="I38" i="2"/>
  <c r="G38" i="2"/>
  <c r="J37" i="2"/>
  <c r="I37" i="2"/>
  <c r="G37" i="2"/>
  <c r="J36" i="2"/>
  <c r="I36" i="2"/>
  <c r="G36" i="2"/>
  <c r="J35" i="2"/>
  <c r="I35" i="2"/>
  <c r="G35" i="2"/>
  <c r="J34" i="2"/>
  <c r="I34" i="2"/>
  <c r="G34" i="2"/>
  <c r="J33" i="2"/>
  <c r="I33" i="2"/>
  <c r="G33" i="2"/>
  <c r="J32" i="2"/>
  <c r="I32" i="2"/>
  <c r="G32" i="2"/>
  <c r="J31" i="2"/>
  <c r="I31" i="2"/>
  <c r="G31" i="2"/>
  <c r="J30" i="2"/>
  <c r="I30" i="2"/>
  <c r="G30" i="2"/>
  <c r="J29" i="2"/>
  <c r="I29" i="2"/>
  <c r="G29" i="2"/>
  <c r="J28" i="2"/>
  <c r="I28" i="2"/>
  <c r="G28" i="2"/>
  <c r="J27" i="2"/>
  <c r="I27" i="2"/>
  <c r="G27" i="2"/>
  <c r="J26" i="2"/>
  <c r="I26" i="2"/>
  <c r="G26" i="2"/>
  <c r="J25" i="2"/>
  <c r="I25" i="2"/>
  <c r="G25" i="2"/>
  <c r="J24" i="2"/>
  <c r="I24" i="2"/>
  <c r="G24" i="2"/>
  <c r="J23" i="2"/>
  <c r="I23" i="2"/>
  <c r="G23" i="2"/>
  <c r="J22" i="2"/>
  <c r="I22" i="2"/>
  <c r="G22" i="2"/>
  <c r="J21" i="2"/>
  <c r="I21" i="2"/>
  <c r="G21" i="2"/>
  <c r="J20" i="2"/>
  <c r="I20" i="2"/>
  <c r="G20" i="2"/>
  <c r="J19" i="2"/>
  <c r="I19" i="2"/>
  <c r="G19" i="2"/>
  <c r="J18" i="2"/>
  <c r="I18" i="2"/>
  <c r="G18" i="2"/>
  <c r="J17" i="2"/>
  <c r="I17" i="2"/>
  <c r="G17" i="2"/>
  <c r="J16" i="2"/>
  <c r="I16" i="2"/>
  <c r="G16" i="2"/>
  <c r="J15" i="2"/>
  <c r="I15" i="2"/>
  <c r="G15" i="2"/>
  <c r="J14" i="2"/>
  <c r="I14" i="2"/>
  <c r="G14" i="2"/>
  <c r="J13" i="2"/>
  <c r="I13" i="2"/>
  <c r="G13" i="2"/>
  <c r="J12" i="2"/>
  <c r="I12" i="2"/>
  <c r="G12" i="2"/>
  <c r="J11" i="2"/>
  <c r="I11" i="2"/>
  <c r="G11" i="2"/>
  <c r="J10" i="2"/>
  <c r="I10" i="2"/>
  <c r="G10" i="2"/>
  <c r="J9" i="2"/>
  <c r="I9" i="2"/>
  <c r="G9" i="2"/>
  <c r="J8" i="2"/>
  <c r="I8" i="2"/>
  <c r="G8" i="2"/>
  <c r="J7" i="2"/>
  <c r="I7" i="2"/>
  <c r="G7" i="2"/>
  <c r="J6" i="2"/>
  <c r="I6" i="2"/>
  <c r="G6" i="2"/>
  <c r="J5" i="2"/>
  <c r="I5" i="2"/>
  <c r="G5" i="2"/>
  <c r="J4" i="2"/>
  <c r="I4" i="2"/>
  <c r="G4" i="2"/>
  <c r="J3" i="2"/>
  <c r="I3" i="2"/>
  <c r="G3" i="2"/>
  <c r="J2" i="2"/>
  <c r="I2" i="2"/>
  <c r="G2" i="2"/>
</calcChain>
</file>

<file path=xl/sharedStrings.xml><?xml version="1.0" encoding="utf-8"?>
<sst xmlns="http://schemas.openxmlformats.org/spreadsheetml/2006/main" count="1948" uniqueCount="814">
  <si>
    <t>sales_date</t>
  </si>
  <si>
    <t>sku_id</t>
  </si>
  <si>
    <t>category_id</t>
  </si>
  <si>
    <t>store_id</t>
  </si>
  <si>
    <t>sales_count</t>
  </si>
  <si>
    <t>price</t>
  </si>
  <si>
    <t>revenue</t>
  </si>
  <si>
    <t>margin_pct</t>
  </si>
  <si>
    <t>promo_flag</t>
  </si>
  <si>
    <t>promo_id</t>
  </si>
  <si>
    <t>SKU-0001</t>
  </si>
  <si>
    <t>SKU-0002</t>
  </si>
  <si>
    <t>PR-001</t>
  </si>
  <si>
    <t>goods_name</t>
  </si>
  <si>
    <t>brand_id</t>
  </si>
  <si>
    <t>ram_gb</t>
  </si>
  <si>
    <t>storage_gb</t>
  </si>
  <si>
    <t>color</t>
  </si>
  <si>
    <t>Samsung Galaxy A15</t>
  </si>
  <si>
    <t>Чорний</t>
  </si>
  <si>
    <t>marketplace_name</t>
  </si>
  <si>
    <t>url</t>
  </si>
  <si>
    <t>commission_pct</t>
  </si>
  <si>
    <t>category_section</t>
  </si>
  <si>
    <t>Apple iPhone 15</t>
  </si>
  <si>
    <t>date_from</t>
  </si>
  <si>
    <t>date_to</t>
  </si>
  <si>
    <t>discount_pct</t>
  </si>
  <si>
    <t>promo_type</t>
  </si>
  <si>
    <t>Rozetka</t>
  </si>
  <si>
    <t>rozetka.ua</t>
  </si>
  <si>
    <t>Смартфони</t>
  </si>
  <si>
    <t>Знижка</t>
  </si>
  <si>
    <t>Флагмани</t>
  </si>
  <si>
    <t>PR-002</t>
  </si>
  <si>
    <t>SKU-0005</t>
  </si>
  <si>
    <t>Кешбек</t>
  </si>
  <si>
    <t>calendar_date</t>
  </si>
  <si>
    <t>weekday_num</t>
  </si>
  <si>
    <t>month_num</t>
  </si>
  <si>
    <t>is_weekend</t>
  </si>
  <si>
    <t>is_holiday</t>
  </si>
  <si>
    <t>brand_name</t>
  </si>
  <si>
    <t>country_of_origin</t>
  </si>
  <si>
    <t>store_name</t>
  </si>
  <si>
    <t>city</t>
  </si>
  <si>
    <t>region</t>
  </si>
  <si>
    <t>store_type</t>
  </si>
  <si>
    <t>Samsung</t>
  </si>
  <si>
    <t>Rozetka Київ 1</t>
  </si>
  <si>
    <t>Київ</t>
  </si>
  <si>
    <t>Київська</t>
  </si>
  <si>
    <t>online</t>
  </si>
  <si>
    <t>Apple</t>
  </si>
  <si>
    <t>США</t>
  </si>
  <si>
    <t>Rozetka Харків 1</t>
  </si>
  <si>
    <t>Харків</t>
  </si>
  <si>
    <t>Харківська</t>
  </si>
  <si>
    <t>offline</t>
  </si>
  <si>
    <t>holiday_flag</t>
  </si>
  <si>
    <t>SKU-0023</t>
  </si>
  <si>
    <t>SKU-0025</t>
  </si>
  <si>
    <t>SKU-0013</t>
  </si>
  <si>
    <t>SKU-0029</t>
  </si>
  <si>
    <t>SKU-0015</t>
  </si>
  <si>
    <t>SKU-0018</t>
  </si>
  <si>
    <t>SKU-0012</t>
  </si>
  <si>
    <t>SKU-0014</t>
  </si>
  <si>
    <t>SKU-0017</t>
  </si>
  <si>
    <t>SKU-0024</t>
  </si>
  <si>
    <t>SKU-0011</t>
  </si>
  <si>
    <t>SKU-0028</t>
  </si>
  <si>
    <t>SKU-0020</t>
  </si>
  <si>
    <t>SKU-0003</t>
  </si>
  <si>
    <t>SKU-0006</t>
  </si>
  <si>
    <t>SKU-0030</t>
  </si>
  <si>
    <t>SKU-0021</t>
  </si>
  <si>
    <t>SKU-0008</t>
  </si>
  <si>
    <t>SKU-0016</t>
  </si>
  <si>
    <t>SKU-0022</t>
  </si>
  <si>
    <t>SKU-0004</t>
  </si>
  <si>
    <t>SKU-0009</t>
  </si>
  <si>
    <t>SKU-0026</t>
  </si>
  <si>
    <t>SKU-0007</t>
  </si>
  <si>
    <t>SKU-0027</t>
  </si>
  <si>
    <t>SKU-0019</t>
  </si>
  <si>
    <t>Apple iPhone 13</t>
  </si>
  <si>
    <t>Золотий</t>
  </si>
  <si>
    <t>Xiaomi Redmi 13C</t>
  </si>
  <si>
    <t>Зелений</t>
  </si>
  <si>
    <t>POCO X6 Pro</t>
  </si>
  <si>
    <t>Motorola Moto G54</t>
  </si>
  <si>
    <t>Червоний</t>
  </si>
  <si>
    <t>OnePlus OnePlus Nord CE3</t>
  </si>
  <si>
    <t>Realme Realme C65</t>
  </si>
  <si>
    <t>Nokia Nokia G22</t>
  </si>
  <si>
    <t>Сірий</t>
  </si>
  <si>
    <t>OPPO OPPO A78</t>
  </si>
  <si>
    <t>SKU-0010</t>
  </si>
  <si>
    <t>Vivo Vivo Y36</t>
  </si>
  <si>
    <t>Білий</t>
  </si>
  <si>
    <t>Samsung Galaxy A25</t>
  </si>
  <si>
    <t>Apple iPhone 14</t>
  </si>
  <si>
    <t>Xiaomi Redmi Note 13</t>
  </si>
  <si>
    <t>POCO M6 Pro</t>
  </si>
  <si>
    <t>Motorola Moto G64</t>
  </si>
  <si>
    <t>OnePlus OnePlus 12</t>
  </si>
  <si>
    <t>Realme Realme 12 Pro</t>
  </si>
  <si>
    <t>Nokia Nokia G42</t>
  </si>
  <si>
    <t>OPPO OPPO A58</t>
  </si>
  <si>
    <t>Vivo Vivo Y27</t>
  </si>
  <si>
    <t>Samsung Galaxy A35</t>
  </si>
  <si>
    <t>Apple iPhone 14 Plus</t>
  </si>
  <si>
    <t>Xiaomi Redmi Note 13 Pro</t>
  </si>
  <si>
    <t>POCO F6 Pro</t>
  </si>
  <si>
    <t>Motorola Moto G84</t>
  </si>
  <si>
    <t>OnePlus OnePlus Nord 3</t>
  </si>
  <si>
    <t>Realme Realme 12+</t>
  </si>
  <si>
    <t>Nokia Nokia C32</t>
  </si>
  <si>
    <t>OPPO OPPO Reno11</t>
  </si>
  <si>
    <t>Фіолетовий</t>
  </si>
  <si>
    <t>Vivo Vivo V29</t>
  </si>
  <si>
    <t>SKU-0031</t>
  </si>
  <si>
    <t>Samsung Galaxy A55</t>
  </si>
  <si>
    <t>SKU-0032</t>
  </si>
  <si>
    <t>SKU-0033</t>
  </si>
  <si>
    <t>Xiaomi Redmi 12</t>
  </si>
  <si>
    <t>SKU-0034</t>
  </si>
  <si>
    <t>POCO C75</t>
  </si>
  <si>
    <t>SKU-0035</t>
  </si>
  <si>
    <t>Motorola Moto Edge 40</t>
  </si>
  <si>
    <t>SKU-0036</t>
  </si>
  <si>
    <t>OnePlus OnePlus 12R</t>
  </si>
  <si>
    <t>SKU-0037</t>
  </si>
  <si>
    <t>Realme Realme C67</t>
  </si>
  <si>
    <t>Синій</t>
  </si>
  <si>
    <t>SKU-0038</t>
  </si>
  <si>
    <t>Nokia Nokia G21</t>
  </si>
  <si>
    <t>SKU-0039</t>
  </si>
  <si>
    <t>OPPO OPPO Find X7</t>
  </si>
  <si>
    <t>SKU-0040</t>
  </si>
  <si>
    <t>Vivo Vivo X100</t>
  </si>
  <si>
    <t>SKU-0041</t>
  </si>
  <si>
    <t>Samsung Galaxy S24</t>
  </si>
  <si>
    <t>SKU-0042</t>
  </si>
  <si>
    <t>Apple iPhone 15 Plus</t>
  </si>
  <si>
    <t>SKU-0043</t>
  </si>
  <si>
    <t>Xiaomi Mi 14</t>
  </si>
  <si>
    <t>SKU-0044</t>
  </si>
  <si>
    <t>POCO M7</t>
  </si>
  <si>
    <t>SKU-0045</t>
  </si>
  <si>
    <t>Motorola Moto G14</t>
  </si>
  <si>
    <t>SKU-0046</t>
  </si>
  <si>
    <t>OnePlus OnePlus Nord CE4</t>
  </si>
  <si>
    <t>SKU-0047</t>
  </si>
  <si>
    <t>Realme Realme GT6</t>
  </si>
  <si>
    <t>SKU-0048</t>
  </si>
  <si>
    <t>Nokia Nokia XR21</t>
  </si>
  <si>
    <t>SKU-0049</t>
  </si>
  <si>
    <t>OPPO OPPO A38</t>
  </si>
  <si>
    <t>SKU-0050</t>
  </si>
  <si>
    <t>Vivo Vivo Y17s</t>
  </si>
  <si>
    <t>SKU-0051</t>
  </si>
  <si>
    <t>Samsung Galaxy S24+</t>
  </si>
  <si>
    <t>SKU-0052</t>
  </si>
  <si>
    <t>Apple iPhone 15 Pro</t>
  </si>
  <si>
    <t>SKU-0053</t>
  </si>
  <si>
    <t>Xiaomi Mi 14 Pro</t>
  </si>
  <si>
    <t>SKU-0054</t>
  </si>
  <si>
    <t>POCO X7 Pro</t>
  </si>
  <si>
    <t>SKU-0055</t>
  </si>
  <si>
    <t>Motorola Moto G34</t>
  </si>
  <si>
    <t>SKU-0056</t>
  </si>
  <si>
    <t>OnePlus OnePlus 11</t>
  </si>
  <si>
    <t>SKU-0057</t>
  </si>
  <si>
    <t>Realme Realme Narzo 70</t>
  </si>
  <si>
    <t>SKU-0058</t>
  </si>
  <si>
    <t>Nokia Nokia C22</t>
  </si>
  <si>
    <t>SKU-0059</t>
  </si>
  <si>
    <t>OPPO OPPO Reno10</t>
  </si>
  <si>
    <t>SKU-0060</t>
  </si>
  <si>
    <t>Vivo Vivo V27e</t>
  </si>
  <si>
    <t>SKU-0061</t>
  </si>
  <si>
    <t>Samsung Galaxy S24 Ultra</t>
  </si>
  <si>
    <t>SKU-0062</t>
  </si>
  <si>
    <t>Apple iPhone 15 Pro Max</t>
  </si>
  <si>
    <t>SKU-0063</t>
  </si>
  <si>
    <t>Xiaomi Poco X6</t>
  </si>
  <si>
    <t>SKU-0064</t>
  </si>
  <si>
    <t>POCO F7</t>
  </si>
  <si>
    <t>SKU-0065</t>
  </si>
  <si>
    <t>Motorola Moto Edge 50</t>
  </si>
  <si>
    <t>SKU-0066</t>
  </si>
  <si>
    <t>OnePlus Nord CE 3 Lite</t>
  </si>
  <si>
    <t>SKU-0067</t>
  </si>
  <si>
    <t>Realme Realme 11 Pro</t>
  </si>
  <si>
    <t>SKU-0068</t>
  </si>
  <si>
    <t>Nokia Nokia 5710</t>
  </si>
  <si>
    <t>SKU-0069</t>
  </si>
  <si>
    <t>OPPO OPPO A77</t>
  </si>
  <si>
    <t>SKU-0070</t>
  </si>
  <si>
    <t>Vivo Vivo Y22</t>
  </si>
  <si>
    <t>SKU-0071</t>
  </si>
  <si>
    <t>Samsung Galaxy M14</t>
  </si>
  <si>
    <t>SKU-0072</t>
  </si>
  <si>
    <t>Apple iPhone SE 3</t>
  </si>
  <si>
    <t>SKU-0073</t>
  </si>
  <si>
    <t>Xiaomi Poco M6</t>
  </si>
  <si>
    <t>SKU-0074</t>
  </si>
  <si>
    <t>POCO C65</t>
  </si>
  <si>
    <t>SKU-0075</t>
  </si>
  <si>
    <t>Motorola Moto G24</t>
  </si>
  <si>
    <t>SKU-0076</t>
  </si>
  <si>
    <t>OnePlus OnePlus 10 Pro</t>
  </si>
  <si>
    <t>SKU-0077</t>
  </si>
  <si>
    <t>Realme Realme 12x</t>
  </si>
  <si>
    <t>SKU-0078</t>
  </si>
  <si>
    <t>Nokia Nokia G60</t>
  </si>
  <si>
    <t>SKU-0079</t>
  </si>
  <si>
    <t>OPPO OPPO Find N3</t>
  </si>
  <si>
    <t>SKU-0080</t>
  </si>
  <si>
    <t>Vivo Vivo X90 Pro</t>
  </si>
  <si>
    <t>SKU-0081</t>
  </si>
  <si>
    <t>Samsung Galaxy M34</t>
  </si>
  <si>
    <t>SKU-0082</t>
  </si>
  <si>
    <t>Apple iPhone 16</t>
  </si>
  <si>
    <t>SKU-0083</t>
  </si>
  <si>
    <t>Xiaomi Poco F6</t>
  </si>
  <si>
    <t>SKU-0084</t>
  </si>
  <si>
    <t>POCO M5s</t>
  </si>
  <si>
    <t>SKU-0085</t>
  </si>
  <si>
    <t>Motorola G52</t>
  </si>
  <si>
    <t>SKU-0086</t>
  </si>
  <si>
    <t>OnePlus Nord 4</t>
  </si>
  <si>
    <t>SKU-0087</t>
  </si>
  <si>
    <t>Realme Realme C55</t>
  </si>
  <si>
    <t>SKU-0088</t>
  </si>
  <si>
    <t>Nokia Nokia C12</t>
  </si>
  <si>
    <t>SKU-0089</t>
  </si>
  <si>
    <t>OPPO OPPO A17</t>
  </si>
  <si>
    <t>SKU-0090</t>
  </si>
  <si>
    <t>Vivo Vivo Y16</t>
  </si>
  <si>
    <t>SKU-0091</t>
  </si>
  <si>
    <t>Samsung Galaxy F15</t>
  </si>
  <si>
    <t>SKU-0092</t>
  </si>
  <si>
    <t>Apple iPhone 16 Pro</t>
  </si>
  <si>
    <t>SKU-0093</t>
  </si>
  <si>
    <t>Xiaomi Redmi A3</t>
  </si>
  <si>
    <t>SKU-0094</t>
  </si>
  <si>
    <t>POCO X5 Pro</t>
  </si>
  <si>
    <t>SKU-0095</t>
  </si>
  <si>
    <t>Motorola Edge 30</t>
  </si>
  <si>
    <t>SKU-0096</t>
  </si>
  <si>
    <t>OnePlus OnePlus Ace 3</t>
  </si>
  <si>
    <t>SKU-0097</t>
  </si>
  <si>
    <t>Realme Realme GT 2 Pro</t>
  </si>
  <si>
    <t>SKU-0098</t>
  </si>
  <si>
    <t>Nokia Nokia G300</t>
  </si>
  <si>
    <t>SKU-0099</t>
  </si>
  <si>
    <t>OPPO OPPO Reno8</t>
  </si>
  <si>
    <t>SKU-0100</t>
  </si>
  <si>
    <t>Vivo Vivo T2x</t>
  </si>
  <si>
    <t>category_name</t>
  </si>
  <si>
    <t>m_path</t>
  </si>
  <si>
    <t>parent_category_id</t>
  </si>
  <si>
    <t>90000:90001</t>
  </si>
  <si>
    <t>Кнопкові телефони</t>
  </si>
  <si>
    <t>90000:90002</t>
  </si>
  <si>
    <t>Захищені телефони</t>
  </si>
  <si>
    <t>90000:90003</t>
  </si>
  <si>
    <t>Смартфони до 5000 грн</t>
  </si>
  <si>
    <t>90000:90004</t>
  </si>
  <si>
    <t>Флагманські смартфони</t>
  </si>
  <si>
    <t>90000:90005</t>
  </si>
  <si>
    <t>Смартфони для ігор</t>
  </si>
  <si>
    <t>90000:90006</t>
  </si>
  <si>
    <t>Смартфони з великим екраном</t>
  </si>
  <si>
    <t>90000:90007</t>
  </si>
  <si>
    <t>Бюджетні смартфони</t>
  </si>
  <si>
    <t>90000:90008</t>
  </si>
  <si>
    <t>Преміум смартфони</t>
  </si>
  <si>
    <t>90000:90009</t>
  </si>
  <si>
    <t>Смартфони з довгою батареєю</t>
  </si>
  <si>
    <t>90000:90010</t>
  </si>
  <si>
    <t>Смартфони #11</t>
  </si>
  <si>
    <t>90000:90011</t>
  </si>
  <si>
    <t>Кнопкові телефони #12</t>
  </si>
  <si>
    <t>90000:90012</t>
  </si>
  <si>
    <t>Захищені телефони #13</t>
  </si>
  <si>
    <t>90000:90013</t>
  </si>
  <si>
    <t>Смартфони до 5000 грн #14</t>
  </si>
  <si>
    <t>90000:90014</t>
  </si>
  <si>
    <t>Флагманські смартфони #15</t>
  </si>
  <si>
    <t>90000:90015</t>
  </si>
  <si>
    <t>Смартфони для ігор #16</t>
  </si>
  <si>
    <t>90000:90016</t>
  </si>
  <si>
    <t>Смартфони з великим екраном #17</t>
  </si>
  <si>
    <t>90000:90017</t>
  </si>
  <si>
    <t>Бюджетні смартфони #18</t>
  </si>
  <si>
    <t>90000:90018</t>
  </si>
  <si>
    <t>Преміум смартфони #19</t>
  </si>
  <si>
    <t>90000:90019</t>
  </si>
  <si>
    <t>Смартфони з довгою батареєю #20</t>
  </si>
  <si>
    <t>90000:90020</t>
  </si>
  <si>
    <t>Смартфони #21</t>
  </si>
  <si>
    <t>90000:90021</t>
  </si>
  <si>
    <t>Кнопкові телефони #22</t>
  </si>
  <si>
    <t>90000:90022</t>
  </si>
  <si>
    <t>Захищені телефони #23</t>
  </si>
  <si>
    <t>90000:90023</t>
  </si>
  <si>
    <t>Смартфони до 5000 грн #24</t>
  </si>
  <si>
    <t>90000:90024</t>
  </si>
  <si>
    <t>Флагманські смартфони #25</t>
  </si>
  <si>
    <t>90000:90025</t>
  </si>
  <si>
    <t>Смартфони для ігор #26</t>
  </si>
  <si>
    <t>90000:90026</t>
  </si>
  <si>
    <t>Смартфони з великим екраном #27</t>
  </si>
  <si>
    <t>90000:90027</t>
  </si>
  <si>
    <t>Бюджетні смартфони #28</t>
  </si>
  <si>
    <t>90000:90028</t>
  </si>
  <si>
    <t>Преміум смартфони #29</t>
  </si>
  <si>
    <t>90000:90029</t>
  </si>
  <si>
    <t>Смартфони з довгою батареєю #30</t>
  </si>
  <si>
    <t>90000:90030</t>
  </si>
  <si>
    <t>Смартфони #31</t>
  </si>
  <si>
    <t>90000:90031</t>
  </si>
  <si>
    <t>Кнопкові телефони #32</t>
  </si>
  <si>
    <t>90000:90032</t>
  </si>
  <si>
    <t>Захищені телефони #33</t>
  </si>
  <si>
    <t>90000:90033</t>
  </si>
  <si>
    <t>Смартфони до 5000 грн #34</t>
  </si>
  <si>
    <t>90000:90034</t>
  </si>
  <si>
    <t>Флагманські смартфони #35</t>
  </si>
  <si>
    <t>90000:90035</t>
  </si>
  <si>
    <t>Смартфони для ігор #36</t>
  </si>
  <si>
    <t>90000:90036</t>
  </si>
  <si>
    <t>Смартфони з великим екраном #37</t>
  </si>
  <si>
    <t>90000:90037</t>
  </si>
  <si>
    <t>Бюджетні смартфони #38</t>
  </si>
  <si>
    <t>90000:90038</t>
  </si>
  <si>
    <t>Преміум смартфони #39</t>
  </si>
  <si>
    <t>90000:90039</t>
  </si>
  <si>
    <t>Смартфони з довгою батареєю #40</t>
  </si>
  <si>
    <t>90000:90040</t>
  </si>
  <si>
    <t>Смартфони #41</t>
  </si>
  <si>
    <t>90000:90041</t>
  </si>
  <si>
    <t>Кнопкові телефони #42</t>
  </si>
  <si>
    <t>90000:90042</t>
  </si>
  <si>
    <t>Захищені телефони #43</t>
  </si>
  <si>
    <t>90000:90043</t>
  </si>
  <si>
    <t>Смартфони до 5000 грн #44</t>
  </si>
  <si>
    <t>90000:90044</t>
  </si>
  <si>
    <t>Флагманські смартфони #45</t>
  </si>
  <si>
    <t>90000:90045</t>
  </si>
  <si>
    <t>Смартфони для ігор #46</t>
  </si>
  <si>
    <t>90000:90046</t>
  </si>
  <si>
    <t>Смартфони з великим екраном #47</t>
  </si>
  <si>
    <t>90000:90047</t>
  </si>
  <si>
    <t>Бюджетні смартфони #48</t>
  </si>
  <si>
    <t>90000:90048</t>
  </si>
  <si>
    <t>Преміум смартфони #49</t>
  </si>
  <si>
    <t>90000:90049</t>
  </si>
  <si>
    <t>Смартфони з довгою батареєю #50</t>
  </si>
  <si>
    <t>90000:90050</t>
  </si>
  <si>
    <t>Смартфони #51</t>
  </si>
  <si>
    <t>90000:90051</t>
  </si>
  <si>
    <t>Кнопкові телефони #52</t>
  </si>
  <si>
    <t>90000:90052</t>
  </si>
  <si>
    <t>Захищені телефони #53</t>
  </si>
  <si>
    <t>90000:90053</t>
  </si>
  <si>
    <t>Смартфони до 5000 грн #54</t>
  </si>
  <si>
    <t>90000:90054</t>
  </si>
  <si>
    <t>Флагманські смартфони #55</t>
  </si>
  <si>
    <t>90000:90055</t>
  </si>
  <si>
    <t>Смартфони для ігор #56</t>
  </si>
  <si>
    <t>90000:90056</t>
  </si>
  <si>
    <t>Смартфони з великим екраном #57</t>
  </si>
  <si>
    <t>90000:90057</t>
  </si>
  <si>
    <t>Бюджетні смартфони #58</t>
  </si>
  <si>
    <t>90000:90058</t>
  </si>
  <si>
    <t>Преміум смартфони #59</t>
  </si>
  <si>
    <t>90000:90059</t>
  </si>
  <si>
    <t>Смартфони з довгою батареєю #60</t>
  </si>
  <si>
    <t>90000:90060</t>
  </si>
  <si>
    <t>Смартфони #61</t>
  </si>
  <si>
    <t>90000:90061</t>
  </si>
  <si>
    <t>Кнопкові телефони #62</t>
  </si>
  <si>
    <t>90000:90062</t>
  </si>
  <si>
    <t>Захищені телефони #63</t>
  </si>
  <si>
    <t>90000:90063</t>
  </si>
  <si>
    <t>Смартфони до 5000 грн #64</t>
  </si>
  <si>
    <t>90000:90064</t>
  </si>
  <si>
    <t>Флагманські смартфони #65</t>
  </si>
  <si>
    <t>90000:90065</t>
  </si>
  <si>
    <t>Смартфони для ігор #66</t>
  </si>
  <si>
    <t>90000:90066</t>
  </si>
  <si>
    <t>Смартфони з великим екраном #67</t>
  </si>
  <si>
    <t>90000:90067</t>
  </si>
  <si>
    <t>Бюджетні смартфони #68</t>
  </si>
  <si>
    <t>90000:90068</t>
  </si>
  <si>
    <t>Преміум смартфони #69</t>
  </si>
  <si>
    <t>90000:90069</t>
  </si>
  <si>
    <t>Смартфони з довгою батареєю #70</t>
  </si>
  <si>
    <t>90000:90070</t>
  </si>
  <si>
    <t>Смартфони #71</t>
  </si>
  <si>
    <t>90000:90071</t>
  </si>
  <si>
    <t>Кнопкові телефони #72</t>
  </si>
  <si>
    <t>90000:90072</t>
  </si>
  <si>
    <t>Захищені телефони #73</t>
  </si>
  <si>
    <t>90000:90073</t>
  </si>
  <si>
    <t>Смартфони до 5000 грн #74</t>
  </si>
  <si>
    <t>90000:90074</t>
  </si>
  <si>
    <t>Флагманські смартфони #75</t>
  </si>
  <si>
    <t>90000:90075</t>
  </si>
  <si>
    <t>Смартфони для ігор #76</t>
  </si>
  <si>
    <t>90000:90076</t>
  </si>
  <si>
    <t>Смартфони з великим екраном #77</t>
  </si>
  <si>
    <t>90000:90077</t>
  </si>
  <si>
    <t>Бюджетні смартфони #78</t>
  </si>
  <si>
    <t>90000:90078</t>
  </si>
  <si>
    <t>Преміум смартфони #79</t>
  </si>
  <si>
    <t>90000:90079</t>
  </si>
  <si>
    <t>Смартфони з довгою батареєю #80</t>
  </si>
  <si>
    <t>90000:90080</t>
  </si>
  <si>
    <t>Смартфони #81</t>
  </si>
  <si>
    <t>90000:90081</t>
  </si>
  <si>
    <t>Кнопкові телефони #82</t>
  </si>
  <si>
    <t>90000:90082</t>
  </si>
  <si>
    <t>Захищені телефони #83</t>
  </si>
  <si>
    <t>90000:90083</t>
  </si>
  <si>
    <t>Смартфони до 5000 грн #84</t>
  </si>
  <si>
    <t>90000:90084</t>
  </si>
  <si>
    <t>Флагманські смартфони #85</t>
  </si>
  <si>
    <t>90000:90085</t>
  </si>
  <si>
    <t>Смартфони для ігор #86</t>
  </si>
  <si>
    <t>90000:90086</t>
  </si>
  <si>
    <t>Смартфони з великим екраном #87</t>
  </si>
  <si>
    <t>90000:90087</t>
  </si>
  <si>
    <t>Бюджетні смартфони #88</t>
  </si>
  <si>
    <t>90000:90088</t>
  </si>
  <si>
    <t>Преміум смартфони #89</t>
  </si>
  <si>
    <t>90000:90089</t>
  </si>
  <si>
    <t>Смартфони з довгою батареєю #90</t>
  </si>
  <si>
    <t>90000:90090</t>
  </si>
  <si>
    <t>Смартфони #91</t>
  </si>
  <si>
    <t>90000:90091</t>
  </si>
  <si>
    <t>Кнопкові телефони #92</t>
  </si>
  <si>
    <t>90000:90092</t>
  </si>
  <si>
    <t>Захищені телефони #93</t>
  </si>
  <si>
    <t>90000:90093</t>
  </si>
  <si>
    <t>Смартфони до 5000 грн #94</t>
  </si>
  <si>
    <t>90000:90094</t>
  </si>
  <si>
    <t>Флагманські смартфони #95</t>
  </si>
  <si>
    <t>90000:90095</t>
  </si>
  <si>
    <t>Смартфони для ігор #96</t>
  </si>
  <si>
    <t>90000:90096</t>
  </si>
  <si>
    <t>Смартфони з великим екраном #97</t>
  </si>
  <si>
    <t>90000:90097</t>
  </si>
  <si>
    <t>Бюджетні смартфони #98</t>
  </si>
  <si>
    <t>90000:90098</t>
  </si>
  <si>
    <t>Преміум смартфони #99</t>
  </si>
  <si>
    <t>90000:90099</t>
  </si>
  <si>
    <t>Смартфони з довгою батареєю #100</t>
  </si>
  <si>
    <t>90000:90100</t>
  </si>
  <si>
    <t>Південна Корея</t>
  </si>
  <si>
    <t>Xiaomi</t>
  </si>
  <si>
    <t>Китай</t>
  </si>
  <si>
    <t>POCO</t>
  </si>
  <si>
    <t>Motorola</t>
  </si>
  <si>
    <t>OnePlus</t>
  </si>
  <si>
    <t>Realme</t>
  </si>
  <si>
    <t>Nokia</t>
  </si>
  <si>
    <t>Фінляндія</t>
  </si>
  <si>
    <t>OPPO</t>
  </si>
  <si>
    <t>Vivo</t>
  </si>
  <si>
    <t>Tecno</t>
  </si>
  <si>
    <t>Itel</t>
  </si>
  <si>
    <t>Infinix</t>
  </si>
  <si>
    <t>Honor</t>
  </si>
  <si>
    <t>Huawei</t>
  </si>
  <si>
    <t>ZTE</t>
  </si>
  <si>
    <t>TCL</t>
  </si>
  <si>
    <t>Alcatel</t>
  </si>
  <si>
    <t>Франція</t>
  </si>
  <si>
    <t>BlackBerry</t>
  </si>
  <si>
    <t>Канада</t>
  </si>
  <si>
    <t>CAT</t>
  </si>
  <si>
    <t>Бренд #21</t>
  </si>
  <si>
    <t>Бренд #22</t>
  </si>
  <si>
    <t>Бренд #23</t>
  </si>
  <si>
    <t>Бренд #24</t>
  </si>
  <si>
    <t>Бренд #25</t>
  </si>
  <si>
    <t>Бренд #26</t>
  </si>
  <si>
    <t>Бренд #27</t>
  </si>
  <si>
    <t>Бренд #28</t>
  </si>
  <si>
    <t>Бренд #29</t>
  </si>
  <si>
    <t>Бренд #30</t>
  </si>
  <si>
    <t>Бренд #31</t>
  </si>
  <si>
    <t>Бренд #32</t>
  </si>
  <si>
    <t>Бренд #33</t>
  </si>
  <si>
    <t>Бренд #34</t>
  </si>
  <si>
    <t>Бренд #35</t>
  </si>
  <si>
    <t>Бренд #36</t>
  </si>
  <si>
    <t>Бренд #37</t>
  </si>
  <si>
    <t>Бренд #38</t>
  </si>
  <si>
    <t>Бренд #39</t>
  </si>
  <si>
    <t>Бренд #40</t>
  </si>
  <si>
    <t>Бренд #41</t>
  </si>
  <si>
    <t>Бренд #42</t>
  </si>
  <si>
    <t>Бренд #43</t>
  </si>
  <si>
    <t>Бренд #44</t>
  </si>
  <si>
    <t>Бренд #45</t>
  </si>
  <si>
    <t>Бренд #46</t>
  </si>
  <si>
    <t>Бренд #47</t>
  </si>
  <si>
    <t>Бренд #48</t>
  </si>
  <si>
    <t>Бренд #49</t>
  </si>
  <si>
    <t>Бренд #50</t>
  </si>
  <si>
    <t>Бренд #51</t>
  </si>
  <si>
    <t>Бренд #52</t>
  </si>
  <si>
    <t>Бренд #53</t>
  </si>
  <si>
    <t>Бренд #54</t>
  </si>
  <si>
    <t>Бренд #55</t>
  </si>
  <si>
    <t>Бренд #56</t>
  </si>
  <si>
    <t>Бренд #57</t>
  </si>
  <si>
    <t>Бренд #58</t>
  </si>
  <si>
    <t>Бренд #59</t>
  </si>
  <si>
    <t>Бренд #60</t>
  </si>
  <si>
    <t>Бренд #61</t>
  </si>
  <si>
    <t>Бренд #62</t>
  </si>
  <si>
    <t>Бренд #63</t>
  </si>
  <si>
    <t>Бренд #64</t>
  </si>
  <si>
    <t>Бренд #65</t>
  </si>
  <si>
    <t>Бренд #66</t>
  </si>
  <si>
    <t>Бренд #67</t>
  </si>
  <si>
    <t>Бренд #68</t>
  </si>
  <si>
    <t>Бренд #69</t>
  </si>
  <si>
    <t>Бренд #70</t>
  </si>
  <si>
    <t>Бренд #71</t>
  </si>
  <si>
    <t>Бренд #72</t>
  </si>
  <si>
    <t>Бренд #73</t>
  </si>
  <si>
    <t>Бренд #74</t>
  </si>
  <si>
    <t>Бренд #75</t>
  </si>
  <si>
    <t>Бренд #76</t>
  </si>
  <si>
    <t>Бренд #77</t>
  </si>
  <si>
    <t>Бренд #78</t>
  </si>
  <si>
    <t>Бренд #79</t>
  </si>
  <si>
    <t>Бренд #80</t>
  </si>
  <si>
    <t>Бренд #81</t>
  </si>
  <si>
    <t>Бренд #82</t>
  </si>
  <si>
    <t>Бренд #83</t>
  </si>
  <si>
    <t>Бренд #84</t>
  </si>
  <si>
    <t>Бренд #85</t>
  </si>
  <si>
    <t>Бренд #86</t>
  </si>
  <si>
    <t>Бренд #87</t>
  </si>
  <si>
    <t>Бренд #88</t>
  </si>
  <si>
    <t>Бренд #89</t>
  </si>
  <si>
    <t>Бренд #90</t>
  </si>
  <si>
    <t>Бренд #91</t>
  </si>
  <si>
    <t>Бренд #92</t>
  </si>
  <si>
    <t>Бренд #93</t>
  </si>
  <si>
    <t>Бренд #94</t>
  </si>
  <si>
    <t>Бренд #95</t>
  </si>
  <si>
    <t>Бренд #96</t>
  </si>
  <si>
    <t>Бренд #97</t>
  </si>
  <si>
    <t>Бренд #98</t>
  </si>
  <si>
    <t>Бренд #99</t>
  </si>
  <si>
    <t>Бренд #100</t>
  </si>
  <si>
    <t>Rozetka Дніпро 1</t>
  </si>
  <si>
    <t>Дніпро</t>
  </si>
  <si>
    <t>Дніпропетровська</t>
  </si>
  <si>
    <t>pickup_point</t>
  </si>
  <si>
    <t>Rozetka Одеса 1</t>
  </si>
  <si>
    <t>Одеса</t>
  </si>
  <si>
    <t>Одеська</t>
  </si>
  <si>
    <t>Rozetka Запоріжжя 1</t>
  </si>
  <si>
    <t>Запоріжжя</t>
  </si>
  <si>
    <t>Запорізька</t>
  </si>
  <si>
    <t>Rozetka Львів 1</t>
  </si>
  <si>
    <t>Львів</t>
  </si>
  <si>
    <t>Львівська</t>
  </si>
  <si>
    <t>Rozetka Кривий Ріг 1</t>
  </si>
  <si>
    <t>Кривий Ріг</t>
  </si>
  <si>
    <t>Rozetka Миколаїв 1</t>
  </si>
  <si>
    <t>Миколаїв</t>
  </si>
  <si>
    <t>Миколаївська</t>
  </si>
  <si>
    <t>Rozetka Маріуполь 1</t>
  </si>
  <si>
    <t>Маріуполь</t>
  </si>
  <si>
    <t>Донецька</t>
  </si>
  <si>
    <t>Rozetka Вінниця 1</t>
  </si>
  <si>
    <t>Вінниця</t>
  </si>
  <si>
    <t>Вінницька</t>
  </si>
  <si>
    <t>Rozetka Херсон 1</t>
  </si>
  <si>
    <t>Херсон</t>
  </si>
  <si>
    <t>Херсонська</t>
  </si>
  <si>
    <t>Rozetka Полтава 1</t>
  </si>
  <si>
    <t>Полтава</t>
  </si>
  <si>
    <t>Полтавська</t>
  </si>
  <si>
    <t>Rozetka Чернігів 1</t>
  </si>
  <si>
    <t>Чернігів</t>
  </si>
  <si>
    <t>Чернігівська</t>
  </si>
  <si>
    <t>Rozetka Черкаси 1</t>
  </si>
  <si>
    <t>Черкаси</t>
  </si>
  <si>
    <t>Черкаська</t>
  </si>
  <si>
    <t>Rozetka Суми 1</t>
  </si>
  <si>
    <t>Суми</t>
  </si>
  <si>
    <t>Сумська</t>
  </si>
  <si>
    <t>Rozetka Житомир 1</t>
  </si>
  <si>
    <t>Житомир</t>
  </si>
  <si>
    <t>Житомирська</t>
  </si>
  <si>
    <t>Rozetka Рівне 1</t>
  </si>
  <si>
    <t>Рівне</t>
  </si>
  <si>
    <t>Рівненська</t>
  </si>
  <si>
    <t>Rozetka Івано-Франківськ 1</t>
  </si>
  <si>
    <t>Івано-Франківськ</t>
  </si>
  <si>
    <t>Івано-Франківська</t>
  </si>
  <si>
    <t>Rozetka Кропивницький 1</t>
  </si>
  <si>
    <t>Кропивницький</t>
  </si>
  <si>
    <t>Кіровоградська</t>
  </si>
  <si>
    <t>Rozetka Тернопіль 1</t>
  </si>
  <si>
    <t>Тернопіль</t>
  </si>
  <si>
    <t>Тернопільська</t>
  </si>
  <si>
    <t>Rozetka Київ 2</t>
  </si>
  <si>
    <t>Rozetka Харків 2</t>
  </si>
  <si>
    <t>Rozetka Дніпро 2</t>
  </si>
  <si>
    <t>Rozetka Одеса 2</t>
  </si>
  <si>
    <t>Rozetka Запоріжжя 2</t>
  </si>
  <si>
    <t>Rozetka Львів 2</t>
  </si>
  <si>
    <t>Rozetka Кривий Ріг 2</t>
  </si>
  <si>
    <t>Rozetka Миколаїв 2</t>
  </si>
  <si>
    <t>Rozetka Маріуполь 2</t>
  </si>
  <si>
    <t>Rozetka Вінниця 2</t>
  </si>
  <si>
    <t>Rozetka Херсон 2</t>
  </si>
  <si>
    <t>Rozetka Полтава 2</t>
  </si>
  <si>
    <t>Rozetka Чернігів 2</t>
  </si>
  <si>
    <t>Rozetka Черкаси 2</t>
  </si>
  <si>
    <t>Rozetka Суми 2</t>
  </si>
  <si>
    <t>Rozetka Житомир 2</t>
  </si>
  <si>
    <t>Rozetka Рівне 2</t>
  </si>
  <si>
    <t>Rozetka Івано-Франківськ 2</t>
  </si>
  <si>
    <t>Rozetka Кропивницький 2</t>
  </si>
  <si>
    <t>Rozetka Тернопіль 2</t>
  </si>
  <si>
    <t>Rozetka Київ 3</t>
  </si>
  <si>
    <t>Rozetka Харків 3</t>
  </si>
  <si>
    <t>Rozetka Дніпро 3</t>
  </si>
  <si>
    <t>Rozetka Одеса 3</t>
  </si>
  <si>
    <t>Rozetka Запоріжжя 3</t>
  </si>
  <si>
    <t>Rozetka Львів 3</t>
  </si>
  <si>
    <t>Rozetka Кривий Ріг 3</t>
  </si>
  <si>
    <t>Rozetka Миколаїв 3</t>
  </si>
  <si>
    <t>Rozetka Маріуполь 3</t>
  </si>
  <si>
    <t>Rozetka Вінниця 3</t>
  </si>
  <si>
    <t>Rozetka Херсон 3</t>
  </si>
  <si>
    <t>Rozetka Полтава 3</t>
  </si>
  <si>
    <t>Rozetka Чернігів 3</t>
  </si>
  <si>
    <t>Rozetka Черкаси 3</t>
  </si>
  <si>
    <t>Rozetka Суми 3</t>
  </si>
  <si>
    <t>Rozetka Житомир 3</t>
  </si>
  <si>
    <t>Rozetka Рівне 3</t>
  </si>
  <si>
    <t>Rozetka Івано-Франківськ 3</t>
  </si>
  <si>
    <t>Rozetka Кропивницький 3</t>
  </si>
  <si>
    <t>Rozetka Тернопіль 3</t>
  </si>
  <si>
    <t>Rozetka Київ 4</t>
  </si>
  <si>
    <t>Rozetka Харків 4</t>
  </si>
  <si>
    <t>Rozetka Дніпро 4</t>
  </si>
  <si>
    <t>Rozetka Одеса 4</t>
  </si>
  <si>
    <t>Rozetka Запоріжжя 4</t>
  </si>
  <si>
    <t>Rozetka Львів 4</t>
  </si>
  <si>
    <t>Rozetka Кривий Ріг 4</t>
  </si>
  <si>
    <t>Rozetka Миколаїв 4</t>
  </si>
  <si>
    <t>Rozetka Маріуполь 4</t>
  </si>
  <si>
    <t>Rozetka Вінниця 4</t>
  </si>
  <si>
    <t>Rozetka Херсон 4</t>
  </si>
  <si>
    <t>Rozetka Полтава 4</t>
  </si>
  <si>
    <t>Rozetka Чернігів 4</t>
  </si>
  <si>
    <t>Rozetka Черкаси 4</t>
  </si>
  <si>
    <t>Rozetka Суми 4</t>
  </si>
  <si>
    <t>Rozetka Житомир 4</t>
  </si>
  <si>
    <t>Rozetka Рівне 4</t>
  </si>
  <si>
    <t>Rozetka Івано-Франківськ 4</t>
  </si>
  <si>
    <t>Rozetka Кропивницький 4</t>
  </si>
  <si>
    <t>Rozetka Тернопіль 4</t>
  </si>
  <si>
    <t>Rozetka Київ 5</t>
  </si>
  <si>
    <t>Rozetka Харків 5</t>
  </si>
  <si>
    <t>Rozetka Дніпро 5</t>
  </si>
  <si>
    <t>Rozetka Одеса 5</t>
  </si>
  <si>
    <t>Rozetka Запоріжжя 5</t>
  </si>
  <si>
    <t>Rozetka Львів 5</t>
  </si>
  <si>
    <t>Rozetka Кривий Ріг 5</t>
  </si>
  <si>
    <t>Rozetka Миколаїв 5</t>
  </si>
  <si>
    <t>Rozetka Маріуполь 5</t>
  </si>
  <si>
    <t>Rozetka Вінниця 5</t>
  </si>
  <si>
    <t>Rozetka Херсон 5</t>
  </si>
  <si>
    <t>Rozetka Полтава 5</t>
  </si>
  <si>
    <t>Rozetka Чернігів 5</t>
  </si>
  <si>
    <t>Rozetka Черкаси 5</t>
  </si>
  <si>
    <t>Rozetka Суми 5</t>
  </si>
  <si>
    <t>Rozetka Житомир 5</t>
  </si>
  <si>
    <t>Rozetka Рівне 5</t>
  </si>
  <si>
    <t>Rozetka Івано-Франківськ 5</t>
  </si>
  <si>
    <t>Rozetka Кропивницький 5</t>
  </si>
  <si>
    <t>Rozetka Тернопіль 5</t>
  </si>
  <si>
    <t>season</t>
  </si>
  <si>
    <t>week_num</t>
  </si>
  <si>
    <t>winter</t>
  </si>
  <si>
    <t>spring</t>
  </si>
  <si>
    <t>Сезонний розпродаж</t>
  </si>
  <si>
    <t>PR-003</t>
  </si>
  <si>
    <t>PR-004</t>
  </si>
  <si>
    <t>PR-005</t>
  </si>
  <si>
    <t>PR-006</t>
  </si>
  <si>
    <t>PR-007</t>
  </si>
  <si>
    <t>2+1</t>
  </si>
  <si>
    <t>PR-008</t>
  </si>
  <si>
    <t>PR-009</t>
  </si>
  <si>
    <t>PR-010</t>
  </si>
  <si>
    <t>PR-011</t>
  </si>
  <si>
    <t>PR-012</t>
  </si>
  <si>
    <t>PR-013</t>
  </si>
  <si>
    <t>PR-014</t>
  </si>
  <si>
    <t>PR-015</t>
  </si>
  <si>
    <t>PR-016</t>
  </si>
  <si>
    <t>PR-017</t>
  </si>
  <si>
    <t>PR-018</t>
  </si>
  <si>
    <t>PR-019</t>
  </si>
  <si>
    <t>PR-020</t>
  </si>
  <si>
    <t>Бонуси</t>
  </si>
  <si>
    <t>PR-021</t>
  </si>
  <si>
    <t>PR-022</t>
  </si>
  <si>
    <t>PR-023</t>
  </si>
  <si>
    <t>PR-024</t>
  </si>
  <si>
    <t>PR-025</t>
  </si>
  <si>
    <t>PR-026</t>
  </si>
  <si>
    <t>PR-027</t>
  </si>
  <si>
    <t>PR-028</t>
  </si>
  <si>
    <t>PR-029</t>
  </si>
  <si>
    <t>PR-030</t>
  </si>
  <si>
    <t>PR-031</t>
  </si>
  <si>
    <t>PR-032</t>
  </si>
  <si>
    <t>PR-033</t>
  </si>
  <si>
    <t>PR-034</t>
  </si>
  <si>
    <t>PR-035</t>
  </si>
  <si>
    <t>PR-036</t>
  </si>
  <si>
    <t>PR-037</t>
  </si>
  <si>
    <t>PR-038</t>
  </si>
  <si>
    <t>PR-039</t>
  </si>
  <si>
    <t>PR-040</t>
  </si>
  <si>
    <t>PR-041</t>
  </si>
  <si>
    <t>PR-042</t>
  </si>
  <si>
    <t>PR-043</t>
  </si>
  <si>
    <t>PR-044</t>
  </si>
  <si>
    <t>PR-045</t>
  </si>
  <si>
    <t>PR-046</t>
  </si>
  <si>
    <t>PR-047</t>
  </si>
  <si>
    <t>PR-048</t>
  </si>
  <si>
    <t>PR-049</t>
  </si>
  <si>
    <t>PR-050</t>
  </si>
  <si>
    <t>PR-051</t>
  </si>
  <si>
    <t>PR-052</t>
  </si>
  <si>
    <t>PR-053</t>
  </si>
  <si>
    <t>PR-054</t>
  </si>
  <si>
    <t>PR-055</t>
  </si>
  <si>
    <t>PR-056</t>
  </si>
  <si>
    <t>PR-057</t>
  </si>
  <si>
    <t>PR-058</t>
  </si>
  <si>
    <t>PR-059</t>
  </si>
  <si>
    <t>PR-060</t>
  </si>
  <si>
    <t>PR-061</t>
  </si>
  <si>
    <t>PR-062</t>
  </si>
  <si>
    <t>PR-063</t>
  </si>
  <si>
    <t>PR-064</t>
  </si>
  <si>
    <t>PR-065</t>
  </si>
  <si>
    <t>PR-066</t>
  </si>
  <si>
    <t>PR-067</t>
  </si>
  <si>
    <t>PR-068</t>
  </si>
  <si>
    <t>PR-069</t>
  </si>
  <si>
    <t>PR-070</t>
  </si>
  <si>
    <t>PR-071</t>
  </si>
  <si>
    <t>PR-072</t>
  </si>
  <si>
    <t>PR-073</t>
  </si>
  <si>
    <t>PR-074</t>
  </si>
  <si>
    <t>PR-075</t>
  </si>
  <si>
    <t>PR-076</t>
  </si>
  <si>
    <t>PR-077</t>
  </si>
  <si>
    <t>PR-078</t>
  </si>
  <si>
    <t>PR-079</t>
  </si>
  <si>
    <t>PR-080</t>
  </si>
  <si>
    <t>PR-081</t>
  </si>
  <si>
    <t>PR-082</t>
  </si>
  <si>
    <t>PR-083</t>
  </si>
  <si>
    <t>PR-084</t>
  </si>
  <si>
    <t>PR-085</t>
  </si>
  <si>
    <t>PR-086</t>
  </si>
  <si>
    <t>PR-087</t>
  </si>
  <si>
    <t>PR-088</t>
  </si>
  <si>
    <t>PR-089</t>
  </si>
  <si>
    <t>PR-090</t>
  </si>
  <si>
    <t>PR-091</t>
  </si>
  <si>
    <t>PR-092</t>
  </si>
  <si>
    <t>PR-093</t>
  </si>
  <si>
    <t>PR-094</t>
  </si>
  <si>
    <t>PR-095</t>
  </si>
  <si>
    <t>PR-096</t>
  </si>
  <si>
    <t>PR-097</t>
  </si>
  <si>
    <t>PR-098</t>
  </si>
  <si>
    <t>PR-099</t>
  </si>
  <si>
    <t>PR-100</t>
  </si>
  <si>
    <t>Планшети</t>
  </si>
  <si>
    <t>Аксесуари</t>
  </si>
  <si>
    <t>Техніка</t>
  </si>
  <si>
    <t>Преміум</t>
  </si>
  <si>
    <t>Бюджетні</t>
  </si>
  <si>
    <t>Захищені</t>
  </si>
  <si>
    <t>Ігрові</t>
  </si>
  <si>
    <t>Для бізнесу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</si>
</sst>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.00\%"/>
    <numFmt numFmtId="166" formatCode="0.0\%"/>
  </numFmts>
  <fonts count="3" x14ac:knownFonts="1">
    <font>
      <sz val="11"/>
      <color theme="1"/>
      <name val="Calibri"/>
      <family val="2"/>
      <charset val="1"/>
    </font>
    <font>
      <sz val="9"/>
      <name val="Arial"/>
      <charset val="1"/>
    </font>
    <font>
      <b/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003366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164" fontId="1" fillId="3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4" fontId="1" fillId="3" borderId="1" xfId="0" applyNumberFormat="1" applyFont="1" applyFill="1" applyBorder="1" applyAlignment="1">
      <alignment horizontal="left" vertical="center" wrapText="1"/>
    </xf>
    <xf numFmtId="165" fontId="1" fillId="3" borderId="1" xfId="0" applyNumberFormat="1" applyFont="1" applyFill="1" applyBorder="1" applyAlignment="1">
      <alignment horizontal="left" vertical="center" wrapText="1"/>
    </xf>
    <xf numFmtId="0" fontId="0" fillId="4" borderId="0" xfId="0" applyFill="1" applyAlignment="1"/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/>
    <xf numFmtId="166" fontId="1" fillId="3" borderId="1" xfId="0" applyNumberFormat="1" applyFont="1" applyFill="1" applyBorder="1" applyAlignment="1">
      <alignment horizontal="left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F3F98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666699"/>
      <rgbColor rgb="FFAAAAAA"/>
      <rgbColor rgb="FF003366"/>
      <rgbColor rgb="FF339966"/>
      <rgbColor rgb="FF003300"/>
      <rgbColor rgb="FF333300"/>
      <rgbColor rgb="FF833C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2"/>
  <sheetViews>
    <sheetView showGridLines="0" zoomScaleNormal="100" workbookViewId="0">
      <selection activeCell="K1" sqref="A1:K1"/>
    </sheetView>
  </sheetViews>
  <sheetFormatPr defaultColWidth="8.6640625" defaultRowHeight="14.4" x14ac:dyDescent="0.3"/>
  <cols>
    <col min="1" max="1" width="13" style="1" customWidth="1"/>
    <col min="2" max="2" width="12" style="1" customWidth="1"/>
    <col min="3" max="3" width="13" style="1" customWidth="1"/>
    <col min="4" max="4" width="10" style="1" customWidth="1"/>
    <col min="5" max="5" width="13" style="1" customWidth="1"/>
    <col min="6" max="7" width="14" style="1" customWidth="1"/>
    <col min="8" max="8" width="13" style="1" customWidth="1"/>
    <col min="9" max="9" width="12" style="1" customWidth="1"/>
    <col min="10" max="10" width="13" style="1" customWidth="1"/>
    <col min="11" max="11" width="14" style="1" customWidth="1"/>
  </cols>
  <sheetData>
    <row r="1" spans="1:11" ht="19.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59</v>
      </c>
      <c r="K1" s="7" t="s">
        <v>38</v>
      </c>
    </row>
    <row r="2" spans="1:11" ht="15" customHeight="1" x14ac:dyDescent="0.3">
      <c r="A2" s="2">
        <v>46033</v>
      </c>
      <c r="B2" s="3" t="s">
        <v>60</v>
      </c>
      <c r="C2" s="3">
        <v>90005</v>
      </c>
      <c r="D2" s="3">
        <v>4</v>
      </c>
      <c r="E2" s="3">
        <v>11</v>
      </c>
      <c r="F2" s="4">
        <v>20693.03</v>
      </c>
      <c r="G2" s="4">
        <f t="shared" ref="G2:G33" si="0">F2*E2</f>
        <v>227623.33</v>
      </c>
      <c r="H2" s="5">
        <v>12.54</v>
      </c>
      <c r="I2" s="3" t="b">
        <f>FALSE()</f>
        <v>0</v>
      </c>
      <c r="J2" s="3" t="b">
        <f>TRUE()</f>
        <v>1</v>
      </c>
      <c r="K2" s="3">
        <v>7</v>
      </c>
    </row>
    <row r="3" spans="1:11" ht="15" customHeight="1" x14ac:dyDescent="0.3">
      <c r="A3" s="2">
        <v>46035</v>
      </c>
      <c r="B3" s="3" t="s">
        <v>61</v>
      </c>
      <c r="C3" s="3">
        <v>90001</v>
      </c>
      <c r="D3" s="3">
        <v>4</v>
      </c>
      <c r="E3" s="3">
        <v>14</v>
      </c>
      <c r="F3" s="4">
        <v>52775.08</v>
      </c>
      <c r="G3" s="4">
        <f t="shared" si="0"/>
        <v>738851.12</v>
      </c>
      <c r="H3" s="5">
        <v>8.4499999999999993</v>
      </c>
      <c r="I3" s="3" t="b">
        <f>FALSE()</f>
        <v>0</v>
      </c>
      <c r="J3" s="3" t="b">
        <f>FALSE()</f>
        <v>0</v>
      </c>
      <c r="K3" s="3">
        <v>2</v>
      </c>
    </row>
    <row r="4" spans="1:11" ht="15" customHeight="1" x14ac:dyDescent="0.3">
      <c r="A4" s="2">
        <v>46028</v>
      </c>
      <c r="B4" s="3" t="s">
        <v>62</v>
      </c>
      <c r="C4" s="3">
        <v>90003</v>
      </c>
      <c r="D4" s="3">
        <v>2</v>
      </c>
      <c r="E4" s="3">
        <v>4</v>
      </c>
      <c r="F4" s="4">
        <v>4379.87</v>
      </c>
      <c r="G4" s="4">
        <f t="shared" si="0"/>
        <v>17519.48</v>
      </c>
      <c r="H4" s="5">
        <v>20.78</v>
      </c>
      <c r="I4" s="3" t="b">
        <f>TRUE()</f>
        <v>1</v>
      </c>
      <c r="J4" s="3" t="b">
        <f>FALSE()</f>
        <v>0</v>
      </c>
      <c r="K4" s="3">
        <v>2</v>
      </c>
    </row>
    <row r="5" spans="1:11" ht="15" customHeight="1" x14ac:dyDescent="0.3">
      <c r="A5" s="2">
        <v>46032</v>
      </c>
      <c r="B5" s="3" t="s">
        <v>63</v>
      </c>
      <c r="C5" s="3">
        <v>90003</v>
      </c>
      <c r="D5" s="3">
        <v>4</v>
      </c>
      <c r="E5" s="3">
        <v>11</v>
      </c>
      <c r="F5" s="4">
        <v>47069.71</v>
      </c>
      <c r="G5" s="4">
        <f t="shared" si="0"/>
        <v>517766.81</v>
      </c>
      <c r="H5" s="5">
        <v>14.99</v>
      </c>
      <c r="I5" s="3" t="b">
        <f>TRUE()</f>
        <v>1</v>
      </c>
      <c r="J5" s="3" t="b">
        <f>FALSE()</f>
        <v>0</v>
      </c>
      <c r="K5" s="3">
        <v>6</v>
      </c>
    </row>
    <row r="6" spans="1:11" ht="15" customHeight="1" x14ac:dyDescent="0.3">
      <c r="A6" s="2">
        <v>46033</v>
      </c>
      <c r="B6" s="3" t="s">
        <v>64</v>
      </c>
      <c r="C6" s="3">
        <v>90002</v>
      </c>
      <c r="D6" s="3">
        <v>5</v>
      </c>
      <c r="E6" s="3">
        <v>3</v>
      </c>
      <c r="F6" s="4">
        <v>36793.99</v>
      </c>
      <c r="G6" s="4">
        <f t="shared" si="0"/>
        <v>110381.97</v>
      </c>
      <c r="H6" s="5">
        <v>11.45</v>
      </c>
      <c r="I6" s="3" t="b">
        <f>TRUE()</f>
        <v>1</v>
      </c>
      <c r="J6" s="3" t="b">
        <f>TRUE()</f>
        <v>1</v>
      </c>
      <c r="K6" s="3">
        <v>7</v>
      </c>
    </row>
    <row r="7" spans="1:11" ht="15" customHeight="1" x14ac:dyDescent="0.3">
      <c r="A7" s="2">
        <v>46031</v>
      </c>
      <c r="B7" s="3" t="s">
        <v>65</v>
      </c>
      <c r="C7" s="3">
        <v>90003</v>
      </c>
      <c r="D7" s="3">
        <v>10</v>
      </c>
      <c r="E7" s="3">
        <v>7</v>
      </c>
      <c r="F7" s="4">
        <v>33641.82</v>
      </c>
      <c r="G7" s="4">
        <f t="shared" si="0"/>
        <v>235492.74</v>
      </c>
      <c r="H7" s="5">
        <v>20.57</v>
      </c>
      <c r="I7" s="3" t="b">
        <f>FALSE()</f>
        <v>0</v>
      </c>
      <c r="J7" s="3" t="b">
        <f>FALSE()</f>
        <v>0</v>
      </c>
      <c r="K7" s="3">
        <v>5</v>
      </c>
    </row>
    <row r="8" spans="1:11" ht="15" customHeight="1" x14ac:dyDescent="0.3">
      <c r="A8" s="2">
        <v>46029</v>
      </c>
      <c r="B8" s="3" t="s">
        <v>66</v>
      </c>
      <c r="C8" s="3">
        <v>90002</v>
      </c>
      <c r="D8" s="3">
        <v>3</v>
      </c>
      <c r="E8" s="3">
        <v>9</v>
      </c>
      <c r="F8" s="4">
        <v>29278.47</v>
      </c>
      <c r="G8" s="4">
        <f t="shared" si="0"/>
        <v>263506.23</v>
      </c>
      <c r="H8" s="5">
        <v>14.91</v>
      </c>
      <c r="I8" s="3" t="b">
        <f>TRUE()</f>
        <v>1</v>
      </c>
      <c r="J8" s="3" t="b">
        <f>FALSE()</f>
        <v>0</v>
      </c>
      <c r="K8" s="3">
        <v>3</v>
      </c>
    </row>
    <row r="9" spans="1:11" ht="15" customHeight="1" x14ac:dyDescent="0.3">
      <c r="A9" s="2">
        <v>46035</v>
      </c>
      <c r="B9" s="3" t="s">
        <v>11</v>
      </c>
      <c r="C9" s="3">
        <v>90001</v>
      </c>
      <c r="D9" s="3">
        <v>3</v>
      </c>
      <c r="E9" s="3">
        <v>11</v>
      </c>
      <c r="F9" s="4">
        <v>4300.5600000000004</v>
      </c>
      <c r="G9" s="4">
        <f t="shared" si="0"/>
        <v>47306.16</v>
      </c>
      <c r="H9" s="5">
        <v>10.24</v>
      </c>
      <c r="I9" s="3" t="b">
        <f>FALSE()</f>
        <v>0</v>
      </c>
      <c r="J9" s="3" t="b">
        <f>FALSE()</f>
        <v>0</v>
      </c>
      <c r="K9" s="3">
        <v>2</v>
      </c>
    </row>
    <row r="10" spans="1:11" ht="15" customHeight="1" x14ac:dyDescent="0.3">
      <c r="A10" s="2">
        <v>46033</v>
      </c>
      <c r="B10" s="3" t="s">
        <v>67</v>
      </c>
      <c r="C10" s="3">
        <v>90005</v>
      </c>
      <c r="D10" s="3">
        <v>2</v>
      </c>
      <c r="E10" s="3">
        <v>7</v>
      </c>
      <c r="F10" s="4">
        <v>13339.56</v>
      </c>
      <c r="G10" s="4">
        <f t="shared" si="0"/>
        <v>93376.92</v>
      </c>
      <c r="H10" s="5">
        <v>13.34</v>
      </c>
      <c r="I10" s="3" t="b">
        <f>FALSE()</f>
        <v>0</v>
      </c>
      <c r="J10" s="3" t="b">
        <f>TRUE()</f>
        <v>1</v>
      </c>
      <c r="K10" s="3">
        <v>7</v>
      </c>
    </row>
    <row r="11" spans="1:11" ht="15" customHeight="1" x14ac:dyDescent="0.3">
      <c r="A11" s="2">
        <v>46030</v>
      </c>
      <c r="B11" s="3" t="s">
        <v>68</v>
      </c>
      <c r="C11" s="3">
        <v>90003</v>
      </c>
      <c r="D11" s="3">
        <v>9</v>
      </c>
      <c r="E11" s="3">
        <v>14</v>
      </c>
      <c r="F11" s="4">
        <v>14462.91</v>
      </c>
      <c r="G11" s="4">
        <f t="shared" si="0"/>
        <v>202480.74</v>
      </c>
      <c r="H11" s="5">
        <v>21.19</v>
      </c>
      <c r="I11" s="3" t="b">
        <f>TRUE()</f>
        <v>1</v>
      </c>
      <c r="J11" s="3" t="b">
        <f>FALSE()</f>
        <v>0</v>
      </c>
      <c r="K11" s="3">
        <v>4</v>
      </c>
    </row>
    <row r="12" spans="1:11" ht="15" customHeight="1" x14ac:dyDescent="0.3">
      <c r="A12" s="2">
        <v>46033</v>
      </c>
      <c r="B12" s="3" t="s">
        <v>69</v>
      </c>
      <c r="C12" s="3">
        <v>90001</v>
      </c>
      <c r="D12" s="3">
        <v>9</v>
      </c>
      <c r="E12" s="3">
        <v>13</v>
      </c>
      <c r="F12" s="4">
        <v>11084.93</v>
      </c>
      <c r="G12" s="4">
        <f t="shared" si="0"/>
        <v>144104.09</v>
      </c>
      <c r="H12" s="5">
        <v>11.74</v>
      </c>
      <c r="I12" s="3" t="b">
        <f>FALSE()</f>
        <v>0</v>
      </c>
      <c r="J12" s="3" t="b">
        <f>TRUE()</f>
        <v>1</v>
      </c>
      <c r="K12" s="3">
        <v>7</v>
      </c>
    </row>
    <row r="13" spans="1:11" ht="15" customHeight="1" x14ac:dyDescent="0.3">
      <c r="A13" s="2">
        <v>46033</v>
      </c>
      <c r="B13" s="3" t="s">
        <v>70</v>
      </c>
      <c r="C13" s="3">
        <v>90001</v>
      </c>
      <c r="D13" s="3">
        <v>5</v>
      </c>
      <c r="E13" s="3">
        <v>7</v>
      </c>
      <c r="F13" s="4">
        <v>14369.17</v>
      </c>
      <c r="G13" s="4">
        <f t="shared" si="0"/>
        <v>100584.19</v>
      </c>
      <c r="H13" s="5">
        <v>10.210000000000001</v>
      </c>
      <c r="I13" s="3" t="b">
        <f>FALSE()</f>
        <v>0</v>
      </c>
      <c r="J13" s="3" t="b">
        <f>TRUE()</f>
        <v>1</v>
      </c>
      <c r="K13" s="3">
        <v>7</v>
      </c>
    </row>
    <row r="14" spans="1:11" ht="15" customHeight="1" x14ac:dyDescent="0.3">
      <c r="A14" s="2">
        <v>46023</v>
      </c>
      <c r="B14" s="3" t="s">
        <v>69</v>
      </c>
      <c r="C14" s="3">
        <v>90003</v>
      </c>
      <c r="D14" s="3">
        <v>9</v>
      </c>
      <c r="E14" s="3">
        <v>13</v>
      </c>
      <c r="F14" s="4">
        <v>11084.93</v>
      </c>
      <c r="G14" s="4">
        <f t="shared" si="0"/>
        <v>144104.09</v>
      </c>
      <c r="H14" s="5">
        <v>10.5</v>
      </c>
      <c r="I14" s="3" t="b">
        <f>FALSE()</f>
        <v>0</v>
      </c>
      <c r="J14" s="3" t="b">
        <f>FALSE()</f>
        <v>0</v>
      </c>
      <c r="K14" s="3">
        <v>4</v>
      </c>
    </row>
    <row r="15" spans="1:11" ht="15" customHeight="1" x14ac:dyDescent="0.3">
      <c r="A15" s="2">
        <v>46024</v>
      </c>
      <c r="B15" s="3" t="s">
        <v>71</v>
      </c>
      <c r="C15" s="3">
        <v>90003</v>
      </c>
      <c r="D15" s="3">
        <v>9</v>
      </c>
      <c r="E15" s="3">
        <v>10</v>
      </c>
      <c r="F15" s="4">
        <v>8029.25</v>
      </c>
      <c r="G15" s="4">
        <f t="shared" si="0"/>
        <v>80292.5</v>
      </c>
      <c r="H15" s="5">
        <v>10.78</v>
      </c>
      <c r="I15" s="3" t="b">
        <f>FALSE()</f>
        <v>0</v>
      </c>
      <c r="J15" s="3" t="b">
        <f>FALSE()</f>
        <v>0</v>
      </c>
      <c r="K15" s="3">
        <v>5</v>
      </c>
    </row>
    <row r="16" spans="1:11" ht="15" customHeight="1" x14ac:dyDescent="0.3">
      <c r="A16" s="2">
        <v>46028</v>
      </c>
      <c r="B16" s="3" t="s">
        <v>61</v>
      </c>
      <c r="C16" s="3">
        <v>90002</v>
      </c>
      <c r="D16" s="3">
        <v>9</v>
      </c>
      <c r="E16" s="3">
        <v>13</v>
      </c>
      <c r="F16" s="4">
        <v>52775.08</v>
      </c>
      <c r="G16" s="4">
        <f t="shared" si="0"/>
        <v>686076.04</v>
      </c>
      <c r="H16" s="5">
        <v>20.91</v>
      </c>
      <c r="I16" s="3" t="b">
        <f>FALSE()</f>
        <v>0</v>
      </c>
      <c r="J16" s="3" t="b">
        <f>FALSE()</f>
        <v>0</v>
      </c>
      <c r="K16" s="3">
        <v>2</v>
      </c>
    </row>
    <row r="17" spans="1:11" ht="15" customHeight="1" x14ac:dyDescent="0.3">
      <c r="A17" s="2">
        <v>46023</v>
      </c>
      <c r="B17" s="3" t="s">
        <v>72</v>
      </c>
      <c r="C17" s="3">
        <v>90003</v>
      </c>
      <c r="D17" s="3">
        <v>8</v>
      </c>
      <c r="E17" s="3">
        <v>1</v>
      </c>
      <c r="F17" s="4">
        <v>3337.94</v>
      </c>
      <c r="G17" s="4">
        <f t="shared" si="0"/>
        <v>3337.94</v>
      </c>
      <c r="H17" s="5">
        <v>9.57</v>
      </c>
      <c r="I17" s="3" t="b">
        <f>FALSE()</f>
        <v>0</v>
      </c>
      <c r="J17" s="3" t="b">
        <f>FALSE()</f>
        <v>0</v>
      </c>
      <c r="K17" s="3">
        <v>4</v>
      </c>
    </row>
    <row r="18" spans="1:11" ht="15" customHeight="1" x14ac:dyDescent="0.3">
      <c r="A18" s="2">
        <v>46028</v>
      </c>
      <c r="B18" s="3" t="s">
        <v>63</v>
      </c>
      <c r="C18" s="3">
        <v>90003</v>
      </c>
      <c r="D18" s="3">
        <v>4</v>
      </c>
      <c r="E18" s="3">
        <v>1</v>
      </c>
      <c r="F18" s="4">
        <v>47069.71</v>
      </c>
      <c r="G18" s="4">
        <f t="shared" si="0"/>
        <v>47069.71</v>
      </c>
      <c r="H18" s="5">
        <v>11.37</v>
      </c>
      <c r="I18" s="3" t="b">
        <f>TRUE()</f>
        <v>1</v>
      </c>
      <c r="J18" s="3" t="b">
        <f>FALSE()</f>
        <v>0</v>
      </c>
      <c r="K18" s="3">
        <v>2</v>
      </c>
    </row>
    <row r="19" spans="1:11" ht="15" customHeight="1" x14ac:dyDescent="0.3">
      <c r="A19" s="2">
        <v>46032</v>
      </c>
      <c r="B19" s="3" t="s">
        <v>73</v>
      </c>
      <c r="C19" s="3">
        <v>90001</v>
      </c>
      <c r="D19" s="3">
        <v>8</v>
      </c>
      <c r="E19" s="3">
        <v>14</v>
      </c>
      <c r="F19" s="4">
        <v>17301.52</v>
      </c>
      <c r="G19" s="4">
        <f t="shared" si="0"/>
        <v>242221.28</v>
      </c>
      <c r="H19" s="5">
        <v>8.9700000000000006</v>
      </c>
      <c r="I19" s="3" t="b">
        <f>FALSE()</f>
        <v>0</v>
      </c>
      <c r="J19" s="3" t="b">
        <f>FALSE()</f>
        <v>0</v>
      </c>
      <c r="K19" s="3">
        <v>6</v>
      </c>
    </row>
    <row r="20" spans="1:11" ht="15" customHeight="1" x14ac:dyDescent="0.3">
      <c r="A20" s="2">
        <v>46035</v>
      </c>
      <c r="B20" s="3" t="s">
        <v>65</v>
      </c>
      <c r="C20" s="3">
        <v>90002</v>
      </c>
      <c r="D20" s="3">
        <v>3</v>
      </c>
      <c r="E20" s="3">
        <v>11</v>
      </c>
      <c r="F20" s="4">
        <v>33641.82</v>
      </c>
      <c r="G20" s="4">
        <f t="shared" si="0"/>
        <v>370060.02</v>
      </c>
      <c r="H20" s="5">
        <v>14.65</v>
      </c>
      <c r="I20" s="3" t="b">
        <f>FALSE()</f>
        <v>0</v>
      </c>
      <c r="J20" s="3" t="b">
        <f>FALSE()</f>
        <v>0</v>
      </c>
      <c r="K20" s="3">
        <v>2</v>
      </c>
    </row>
    <row r="21" spans="1:11" ht="15" customHeight="1" x14ac:dyDescent="0.3">
      <c r="A21" s="2">
        <v>46031</v>
      </c>
      <c r="B21" s="3" t="s">
        <v>74</v>
      </c>
      <c r="C21" s="3">
        <v>90003</v>
      </c>
      <c r="D21" s="3">
        <v>9</v>
      </c>
      <c r="E21" s="3">
        <v>14</v>
      </c>
      <c r="F21" s="4">
        <v>38188.370000000003</v>
      </c>
      <c r="G21" s="4">
        <f t="shared" si="0"/>
        <v>534637.18000000005</v>
      </c>
      <c r="H21" s="5">
        <v>16.489999999999998</v>
      </c>
      <c r="I21" s="3" t="b">
        <f>FALSE()</f>
        <v>0</v>
      </c>
      <c r="J21" s="3" t="b">
        <f>FALSE()</f>
        <v>0</v>
      </c>
      <c r="K21" s="3">
        <v>5</v>
      </c>
    </row>
    <row r="22" spans="1:11" ht="15" customHeight="1" x14ac:dyDescent="0.3">
      <c r="A22" s="2">
        <v>46026</v>
      </c>
      <c r="B22" s="3" t="s">
        <v>75</v>
      </c>
      <c r="C22" s="3">
        <v>90005</v>
      </c>
      <c r="D22" s="3">
        <v>4</v>
      </c>
      <c r="E22" s="3">
        <v>12</v>
      </c>
      <c r="F22" s="4">
        <v>34393.75</v>
      </c>
      <c r="G22" s="4">
        <f t="shared" si="0"/>
        <v>412725</v>
      </c>
      <c r="H22" s="5">
        <v>12.36</v>
      </c>
      <c r="I22" s="3" t="b">
        <f>FALSE()</f>
        <v>0</v>
      </c>
      <c r="J22" s="3" t="b">
        <f>TRUE()</f>
        <v>1</v>
      </c>
      <c r="K22" s="3">
        <v>7</v>
      </c>
    </row>
    <row r="23" spans="1:11" ht="15" customHeight="1" x14ac:dyDescent="0.3">
      <c r="A23" s="2">
        <v>46033</v>
      </c>
      <c r="B23" s="3" t="s">
        <v>76</v>
      </c>
      <c r="C23" s="3">
        <v>90003</v>
      </c>
      <c r="D23" s="3">
        <v>8</v>
      </c>
      <c r="E23" s="3">
        <v>15</v>
      </c>
      <c r="F23" s="4">
        <v>44902.6</v>
      </c>
      <c r="G23" s="4">
        <f t="shared" si="0"/>
        <v>673539</v>
      </c>
      <c r="H23" s="5">
        <v>15.25</v>
      </c>
      <c r="I23" s="3" t="b">
        <f>FALSE()</f>
        <v>0</v>
      </c>
      <c r="J23" s="3" t="b">
        <f>TRUE()</f>
        <v>1</v>
      </c>
      <c r="K23" s="3">
        <v>7</v>
      </c>
    </row>
    <row r="24" spans="1:11" ht="15" customHeight="1" x14ac:dyDescent="0.3">
      <c r="A24" s="2">
        <v>46024</v>
      </c>
      <c r="B24" s="3" t="s">
        <v>77</v>
      </c>
      <c r="C24" s="3">
        <v>90002</v>
      </c>
      <c r="D24" s="3">
        <v>2</v>
      </c>
      <c r="E24" s="3">
        <v>6</v>
      </c>
      <c r="F24" s="4">
        <v>7520.82</v>
      </c>
      <c r="G24" s="4">
        <f t="shared" si="0"/>
        <v>45124.92</v>
      </c>
      <c r="H24" s="5">
        <v>8.2899999999999991</v>
      </c>
      <c r="I24" s="3" t="b">
        <f>FALSE()</f>
        <v>0</v>
      </c>
      <c r="J24" s="3" t="b">
        <f>FALSE()</f>
        <v>0</v>
      </c>
      <c r="K24" s="3">
        <v>5</v>
      </c>
    </row>
    <row r="25" spans="1:11" ht="15" customHeight="1" x14ac:dyDescent="0.3">
      <c r="A25" s="2">
        <v>46031</v>
      </c>
      <c r="B25" s="3" t="s">
        <v>77</v>
      </c>
      <c r="C25" s="3">
        <v>90005</v>
      </c>
      <c r="D25" s="3">
        <v>4</v>
      </c>
      <c r="E25" s="3">
        <v>1</v>
      </c>
      <c r="F25" s="4">
        <v>7520.82</v>
      </c>
      <c r="G25" s="4">
        <f t="shared" si="0"/>
        <v>7520.82</v>
      </c>
      <c r="H25" s="5">
        <v>8.99</v>
      </c>
      <c r="I25" s="3" t="b">
        <f>FALSE()</f>
        <v>0</v>
      </c>
      <c r="J25" s="3" t="b">
        <f>FALSE()</f>
        <v>0</v>
      </c>
      <c r="K25" s="3">
        <v>5</v>
      </c>
    </row>
    <row r="26" spans="1:11" ht="15" customHeight="1" x14ac:dyDescent="0.3">
      <c r="A26" s="2">
        <v>46033</v>
      </c>
      <c r="B26" s="3" t="s">
        <v>11</v>
      </c>
      <c r="C26" s="3">
        <v>90002</v>
      </c>
      <c r="D26" s="3">
        <v>2</v>
      </c>
      <c r="E26" s="3">
        <v>15</v>
      </c>
      <c r="F26" s="4">
        <v>4300.5600000000004</v>
      </c>
      <c r="G26" s="4">
        <f t="shared" si="0"/>
        <v>64508.400000000009</v>
      </c>
      <c r="H26" s="5">
        <v>8.44</v>
      </c>
      <c r="I26" s="3" t="b">
        <f>FALSE()</f>
        <v>0</v>
      </c>
      <c r="J26" s="3" t="b">
        <f>TRUE()</f>
        <v>1</v>
      </c>
      <c r="K26" s="3">
        <v>7</v>
      </c>
    </row>
    <row r="27" spans="1:11" ht="15" customHeight="1" x14ac:dyDescent="0.3">
      <c r="A27" s="2">
        <v>46028</v>
      </c>
      <c r="B27" s="3" t="s">
        <v>73</v>
      </c>
      <c r="C27" s="3">
        <v>90005</v>
      </c>
      <c r="D27" s="3">
        <v>4</v>
      </c>
      <c r="E27" s="3">
        <v>5</v>
      </c>
      <c r="F27" s="4">
        <v>17301.52</v>
      </c>
      <c r="G27" s="4">
        <f t="shared" si="0"/>
        <v>86507.6</v>
      </c>
      <c r="H27" s="5">
        <v>17.37</v>
      </c>
      <c r="I27" s="3" t="b">
        <f>FALSE()</f>
        <v>0</v>
      </c>
      <c r="J27" s="3" t="b">
        <f>FALSE()</f>
        <v>0</v>
      </c>
      <c r="K27" s="3">
        <v>2</v>
      </c>
    </row>
    <row r="28" spans="1:11" ht="15" customHeight="1" x14ac:dyDescent="0.3">
      <c r="A28" s="2">
        <v>46026</v>
      </c>
      <c r="B28" s="3" t="s">
        <v>65</v>
      </c>
      <c r="C28" s="3">
        <v>90002</v>
      </c>
      <c r="D28" s="3">
        <v>10</v>
      </c>
      <c r="E28" s="3">
        <v>10</v>
      </c>
      <c r="F28" s="4">
        <v>33641.82</v>
      </c>
      <c r="G28" s="4">
        <f t="shared" si="0"/>
        <v>336418.2</v>
      </c>
      <c r="H28" s="5">
        <v>14.62</v>
      </c>
      <c r="I28" s="3" t="b">
        <f>FALSE()</f>
        <v>0</v>
      </c>
      <c r="J28" s="3" t="b">
        <f>TRUE()</f>
        <v>1</v>
      </c>
      <c r="K28" s="3">
        <v>7</v>
      </c>
    </row>
    <row r="29" spans="1:11" ht="15" customHeight="1" x14ac:dyDescent="0.3">
      <c r="A29" s="2">
        <v>46035</v>
      </c>
      <c r="B29" s="3" t="s">
        <v>78</v>
      </c>
      <c r="C29" s="3">
        <v>90004</v>
      </c>
      <c r="D29" s="3">
        <v>4</v>
      </c>
      <c r="E29" s="3">
        <v>2</v>
      </c>
      <c r="F29" s="4">
        <v>31336.959999999999</v>
      </c>
      <c r="G29" s="4">
        <f t="shared" si="0"/>
        <v>62673.919999999998</v>
      </c>
      <c r="H29" s="5">
        <v>9.36</v>
      </c>
      <c r="I29" s="3" t="b">
        <f>TRUE()</f>
        <v>1</v>
      </c>
      <c r="J29" s="3" t="b">
        <f>FALSE()</f>
        <v>0</v>
      </c>
      <c r="K29" s="3">
        <v>2</v>
      </c>
    </row>
    <row r="30" spans="1:11" ht="15" customHeight="1" x14ac:dyDescent="0.3">
      <c r="A30" s="2">
        <v>46029</v>
      </c>
      <c r="B30" s="3" t="s">
        <v>66</v>
      </c>
      <c r="C30" s="3">
        <v>90004</v>
      </c>
      <c r="D30" s="3">
        <v>7</v>
      </c>
      <c r="E30" s="3">
        <v>8</v>
      </c>
      <c r="F30" s="4">
        <v>29278.47</v>
      </c>
      <c r="G30" s="4">
        <f t="shared" si="0"/>
        <v>234227.76</v>
      </c>
      <c r="H30" s="5">
        <v>20.09</v>
      </c>
      <c r="I30" s="3" t="b">
        <f>TRUE()</f>
        <v>1</v>
      </c>
      <c r="J30" s="3" t="b">
        <f>FALSE()</f>
        <v>0</v>
      </c>
      <c r="K30" s="3">
        <v>3</v>
      </c>
    </row>
    <row r="31" spans="1:11" ht="15" customHeight="1" x14ac:dyDescent="0.3">
      <c r="A31" s="2">
        <v>46023</v>
      </c>
      <c r="B31" s="3" t="s">
        <v>79</v>
      </c>
      <c r="C31" s="3">
        <v>90001</v>
      </c>
      <c r="D31" s="3">
        <v>1</v>
      </c>
      <c r="E31" s="3">
        <v>7</v>
      </c>
      <c r="F31" s="4">
        <v>39303.25</v>
      </c>
      <c r="G31" s="4">
        <f t="shared" si="0"/>
        <v>275122.75</v>
      </c>
      <c r="H31" s="5">
        <v>18.190000000000001</v>
      </c>
      <c r="I31" s="3" t="b">
        <f>TRUE()</f>
        <v>1</v>
      </c>
      <c r="J31" s="3" t="b">
        <f>FALSE()</f>
        <v>0</v>
      </c>
      <c r="K31" s="3">
        <v>4</v>
      </c>
    </row>
    <row r="32" spans="1:11" ht="15" customHeight="1" x14ac:dyDescent="0.3">
      <c r="A32" s="2">
        <v>46035</v>
      </c>
      <c r="B32" s="3" t="s">
        <v>71</v>
      </c>
      <c r="C32" s="3">
        <v>90001</v>
      </c>
      <c r="D32" s="3">
        <v>4</v>
      </c>
      <c r="E32" s="3">
        <v>4</v>
      </c>
      <c r="F32" s="4">
        <v>8029.25</v>
      </c>
      <c r="G32" s="4">
        <f t="shared" si="0"/>
        <v>32117</v>
      </c>
      <c r="H32" s="5">
        <v>10.66</v>
      </c>
      <c r="I32" s="3" t="b">
        <f>FALSE()</f>
        <v>0</v>
      </c>
      <c r="J32" s="3" t="b">
        <f>FALSE()</f>
        <v>0</v>
      </c>
      <c r="K32" s="3">
        <v>2</v>
      </c>
    </row>
    <row r="33" spans="1:11" ht="15" customHeight="1" x14ac:dyDescent="0.3">
      <c r="A33" s="2">
        <v>46030</v>
      </c>
      <c r="B33" s="3" t="s">
        <v>35</v>
      </c>
      <c r="C33" s="3">
        <v>90004</v>
      </c>
      <c r="D33" s="3">
        <v>3</v>
      </c>
      <c r="E33" s="3">
        <v>5</v>
      </c>
      <c r="F33" s="4">
        <v>41296.5</v>
      </c>
      <c r="G33" s="4">
        <f t="shared" si="0"/>
        <v>206482.5</v>
      </c>
      <c r="H33" s="5">
        <v>14.48</v>
      </c>
      <c r="I33" s="3" t="b">
        <f>FALSE()</f>
        <v>0</v>
      </c>
      <c r="J33" s="3" t="b">
        <f>FALSE()</f>
        <v>0</v>
      </c>
      <c r="K33" s="3">
        <v>4</v>
      </c>
    </row>
    <row r="34" spans="1:11" ht="15" customHeight="1" x14ac:dyDescent="0.3">
      <c r="A34" s="2">
        <v>46036</v>
      </c>
      <c r="B34" s="3" t="s">
        <v>75</v>
      </c>
      <c r="C34" s="3">
        <v>90001</v>
      </c>
      <c r="D34" s="3">
        <v>8</v>
      </c>
      <c r="E34" s="3">
        <v>13</v>
      </c>
      <c r="F34" s="4">
        <v>34393.75</v>
      </c>
      <c r="G34" s="4">
        <f t="shared" ref="G34:G65" si="1">F34*E34</f>
        <v>447118.75</v>
      </c>
      <c r="H34" s="5">
        <v>20.059999999999999</v>
      </c>
      <c r="I34" s="3" t="b">
        <f>FALSE()</f>
        <v>0</v>
      </c>
      <c r="J34" s="3" t="b">
        <f>TRUE()</f>
        <v>1</v>
      </c>
      <c r="K34" s="3">
        <v>3</v>
      </c>
    </row>
    <row r="35" spans="1:11" ht="15" customHeight="1" x14ac:dyDescent="0.3">
      <c r="A35" s="2">
        <v>46031</v>
      </c>
      <c r="B35" s="3" t="s">
        <v>80</v>
      </c>
      <c r="C35" s="3">
        <v>90001</v>
      </c>
      <c r="D35" s="3">
        <v>9</v>
      </c>
      <c r="E35" s="3">
        <v>14</v>
      </c>
      <c r="F35" s="4">
        <v>14606.96</v>
      </c>
      <c r="G35" s="4">
        <f t="shared" si="1"/>
        <v>204497.44</v>
      </c>
      <c r="H35" s="5">
        <v>8.2100000000000009</v>
      </c>
      <c r="I35" s="3" t="b">
        <f>FALSE()</f>
        <v>0</v>
      </c>
      <c r="J35" s="3" t="b">
        <f>FALSE()</f>
        <v>0</v>
      </c>
      <c r="K35" s="3">
        <v>5</v>
      </c>
    </row>
    <row r="36" spans="1:11" ht="15" customHeight="1" x14ac:dyDescent="0.3">
      <c r="A36" s="2">
        <v>46024</v>
      </c>
      <c r="B36" s="3" t="s">
        <v>75</v>
      </c>
      <c r="C36" s="3">
        <v>90002</v>
      </c>
      <c r="D36" s="3">
        <v>3</v>
      </c>
      <c r="E36" s="3">
        <v>7</v>
      </c>
      <c r="F36" s="4">
        <v>34393.75</v>
      </c>
      <c r="G36" s="4">
        <f t="shared" si="1"/>
        <v>240756.25</v>
      </c>
      <c r="H36" s="5">
        <v>14.8</v>
      </c>
      <c r="I36" s="3" t="b">
        <f>FALSE()</f>
        <v>0</v>
      </c>
      <c r="J36" s="3" t="b">
        <f>FALSE()</f>
        <v>0</v>
      </c>
      <c r="K36" s="3">
        <v>5</v>
      </c>
    </row>
    <row r="37" spans="1:11" ht="15" customHeight="1" x14ac:dyDescent="0.3">
      <c r="A37" s="2">
        <v>46026</v>
      </c>
      <c r="B37" s="3" t="s">
        <v>71</v>
      </c>
      <c r="C37" s="3">
        <v>90004</v>
      </c>
      <c r="D37" s="3">
        <v>1</v>
      </c>
      <c r="E37" s="3">
        <v>3</v>
      </c>
      <c r="F37" s="4">
        <v>8029.25</v>
      </c>
      <c r="G37" s="4">
        <f t="shared" si="1"/>
        <v>24087.75</v>
      </c>
      <c r="H37" s="5">
        <v>13.31</v>
      </c>
      <c r="I37" s="3" t="b">
        <f>FALSE()</f>
        <v>0</v>
      </c>
      <c r="J37" s="3" t="b">
        <f>TRUE()</f>
        <v>1</v>
      </c>
      <c r="K37" s="3">
        <v>7</v>
      </c>
    </row>
    <row r="38" spans="1:11" ht="15" customHeight="1" x14ac:dyDescent="0.3">
      <c r="A38" s="2">
        <v>46029</v>
      </c>
      <c r="B38" s="3" t="s">
        <v>81</v>
      </c>
      <c r="C38" s="3">
        <v>90004</v>
      </c>
      <c r="D38" s="3">
        <v>5</v>
      </c>
      <c r="E38" s="3">
        <v>7</v>
      </c>
      <c r="F38" s="4">
        <v>24939.93</v>
      </c>
      <c r="G38" s="4">
        <f t="shared" si="1"/>
        <v>174579.51</v>
      </c>
      <c r="H38" s="5">
        <v>17.75</v>
      </c>
      <c r="I38" s="3" t="b">
        <f>FALSE()</f>
        <v>0</v>
      </c>
      <c r="J38" s="3" t="b">
        <f>FALSE()</f>
        <v>0</v>
      </c>
      <c r="K38" s="3">
        <v>3</v>
      </c>
    </row>
    <row r="39" spans="1:11" ht="15" customHeight="1" x14ac:dyDescent="0.3">
      <c r="A39" s="2">
        <v>46034</v>
      </c>
      <c r="B39" s="3" t="s">
        <v>82</v>
      </c>
      <c r="C39" s="3">
        <v>90005</v>
      </c>
      <c r="D39" s="3">
        <v>8</v>
      </c>
      <c r="E39" s="3">
        <v>3</v>
      </c>
      <c r="F39" s="4">
        <v>20502.919999999998</v>
      </c>
      <c r="G39" s="4">
        <f t="shared" si="1"/>
        <v>61508.759999999995</v>
      </c>
      <c r="H39" s="5">
        <v>10.66</v>
      </c>
      <c r="I39" s="3" t="b">
        <f>FALSE()</f>
        <v>0</v>
      </c>
      <c r="J39" s="3" t="b">
        <f>FALSE()</f>
        <v>0</v>
      </c>
      <c r="K39" s="3">
        <v>1</v>
      </c>
    </row>
    <row r="40" spans="1:11" ht="15" customHeight="1" x14ac:dyDescent="0.3">
      <c r="A40" s="2">
        <v>46026</v>
      </c>
      <c r="B40" s="3" t="s">
        <v>11</v>
      </c>
      <c r="C40" s="3">
        <v>90005</v>
      </c>
      <c r="D40" s="3">
        <v>9</v>
      </c>
      <c r="E40" s="3">
        <v>1</v>
      </c>
      <c r="F40" s="4">
        <v>4300.5600000000004</v>
      </c>
      <c r="G40" s="4">
        <f t="shared" si="1"/>
        <v>4300.5600000000004</v>
      </c>
      <c r="H40" s="5">
        <v>18.47</v>
      </c>
      <c r="I40" s="3" t="b">
        <f>FALSE()</f>
        <v>0</v>
      </c>
      <c r="J40" s="3" t="b">
        <f>TRUE()</f>
        <v>1</v>
      </c>
      <c r="K40" s="3">
        <v>7</v>
      </c>
    </row>
    <row r="41" spans="1:11" ht="15" customHeight="1" x14ac:dyDescent="0.3">
      <c r="A41" s="2">
        <v>46023</v>
      </c>
      <c r="B41" s="3" t="s">
        <v>11</v>
      </c>
      <c r="C41" s="3">
        <v>90005</v>
      </c>
      <c r="D41" s="3">
        <v>8</v>
      </c>
      <c r="E41" s="3">
        <v>9</v>
      </c>
      <c r="F41" s="4">
        <v>4300.5600000000004</v>
      </c>
      <c r="G41" s="4">
        <f t="shared" si="1"/>
        <v>38705.040000000001</v>
      </c>
      <c r="H41" s="5">
        <v>20.87</v>
      </c>
      <c r="I41" s="3" t="b">
        <f>FALSE()</f>
        <v>0</v>
      </c>
      <c r="J41" s="3" t="b">
        <f>FALSE()</f>
        <v>0</v>
      </c>
      <c r="K41" s="3">
        <v>4</v>
      </c>
    </row>
    <row r="42" spans="1:11" ht="15" customHeight="1" x14ac:dyDescent="0.3">
      <c r="A42" s="2">
        <v>46031</v>
      </c>
      <c r="B42" s="3" t="s">
        <v>74</v>
      </c>
      <c r="C42" s="3">
        <v>90001</v>
      </c>
      <c r="D42" s="3">
        <v>9</v>
      </c>
      <c r="E42" s="3">
        <v>2</v>
      </c>
      <c r="F42" s="4">
        <v>38188.370000000003</v>
      </c>
      <c r="G42" s="4">
        <f t="shared" si="1"/>
        <v>76376.740000000005</v>
      </c>
      <c r="H42" s="5">
        <v>19.920000000000002</v>
      </c>
      <c r="I42" s="3" t="b">
        <f>FALSE()</f>
        <v>0</v>
      </c>
      <c r="J42" s="3" t="b">
        <f>FALSE()</f>
        <v>0</v>
      </c>
      <c r="K42" s="3">
        <v>5</v>
      </c>
    </row>
    <row r="43" spans="1:11" ht="15" customHeight="1" x14ac:dyDescent="0.3">
      <c r="A43" s="2">
        <v>46024</v>
      </c>
      <c r="B43" s="3" t="s">
        <v>72</v>
      </c>
      <c r="C43" s="3">
        <v>90001</v>
      </c>
      <c r="D43" s="3">
        <v>4</v>
      </c>
      <c r="E43" s="3">
        <v>7</v>
      </c>
      <c r="F43" s="4">
        <v>3337.94</v>
      </c>
      <c r="G43" s="4">
        <f t="shared" si="1"/>
        <v>23365.58</v>
      </c>
      <c r="H43" s="5">
        <v>9.68</v>
      </c>
      <c r="I43" s="3" t="b">
        <f>FALSE()</f>
        <v>0</v>
      </c>
      <c r="J43" s="3" t="b">
        <f>FALSE()</f>
        <v>0</v>
      </c>
      <c r="K43" s="3">
        <v>5</v>
      </c>
    </row>
    <row r="44" spans="1:11" ht="15" customHeight="1" x14ac:dyDescent="0.3">
      <c r="A44" s="2">
        <v>46032</v>
      </c>
      <c r="B44" s="3" t="s">
        <v>77</v>
      </c>
      <c r="C44" s="3">
        <v>90005</v>
      </c>
      <c r="D44" s="3">
        <v>10</v>
      </c>
      <c r="E44" s="3">
        <v>1</v>
      </c>
      <c r="F44" s="4">
        <v>7520.82</v>
      </c>
      <c r="G44" s="4">
        <f t="shared" si="1"/>
        <v>7520.82</v>
      </c>
      <c r="H44" s="5">
        <v>16.670000000000002</v>
      </c>
      <c r="I44" s="3" t="b">
        <f>FALSE()</f>
        <v>0</v>
      </c>
      <c r="J44" s="3" t="b">
        <f>FALSE()</f>
        <v>0</v>
      </c>
      <c r="K44" s="3">
        <v>6</v>
      </c>
    </row>
    <row r="45" spans="1:11" ht="15" customHeight="1" x14ac:dyDescent="0.3">
      <c r="A45" s="2">
        <v>46029</v>
      </c>
      <c r="B45" s="3" t="s">
        <v>79</v>
      </c>
      <c r="C45" s="3">
        <v>90005</v>
      </c>
      <c r="D45" s="3">
        <v>10</v>
      </c>
      <c r="E45" s="3">
        <v>9</v>
      </c>
      <c r="F45" s="4">
        <v>39303.25</v>
      </c>
      <c r="G45" s="4">
        <f t="shared" si="1"/>
        <v>353729.25</v>
      </c>
      <c r="H45" s="5">
        <v>12.43</v>
      </c>
      <c r="I45" s="3" t="b">
        <f>TRUE()</f>
        <v>1</v>
      </c>
      <c r="J45" s="3" t="b">
        <f>FALSE()</f>
        <v>0</v>
      </c>
      <c r="K45" s="3">
        <v>3</v>
      </c>
    </row>
    <row r="46" spans="1:11" ht="15" customHeight="1" x14ac:dyDescent="0.3">
      <c r="A46" s="2">
        <v>46027</v>
      </c>
      <c r="B46" s="3" t="s">
        <v>83</v>
      </c>
      <c r="C46" s="3">
        <v>90003</v>
      </c>
      <c r="D46" s="3">
        <v>4</v>
      </c>
      <c r="E46" s="3">
        <v>5</v>
      </c>
      <c r="F46" s="4">
        <v>49393.34</v>
      </c>
      <c r="G46" s="4">
        <f t="shared" si="1"/>
        <v>246966.69999999998</v>
      </c>
      <c r="H46" s="5">
        <v>13.54</v>
      </c>
      <c r="I46" s="3" t="b">
        <f>FALSE()</f>
        <v>0</v>
      </c>
      <c r="J46" s="3" t="b">
        <f>FALSE()</f>
        <v>0</v>
      </c>
      <c r="K46" s="3">
        <v>1</v>
      </c>
    </row>
    <row r="47" spans="1:11" ht="15" customHeight="1" x14ac:dyDescent="0.3">
      <c r="A47" s="2">
        <v>46033</v>
      </c>
      <c r="B47" s="3" t="s">
        <v>76</v>
      </c>
      <c r="C47" s="3">
        <v>90003</v>
      </c>
      <c r="D47" s="3">
        <v>8</v>
      </c>
      <c r="E47" s="3">
        <v>6</v>
      </c>
      <c r="F47" s="4">
        <v>44902.6</v>
      </c>
      <c r="G47" s="4">
        <f t="shared" si="1"/>
        <v>269415.59999999998</v>
      </c>
      <c r="H47" s="5">
        <v>21.01</v>
      </c>
      <c r="I47" s="3" t="b">
        <f>FALSE()</f>
        <v>0</v>
      </c>
      <c r="J47" s="3" t="b">
        <f>TRUE()</f>
        <v>1</v>
      </c>
      <c r="K47" s="3">
        <v>7</v>
      </c>
    </row>
    <row r="48" spans="1:11" ht="15" customHeight="1" x14ac:dyDescent="0.3">
      <c r="A48" s="2">
        <v>46024</v>
      </c>
      <c r="B48" s="3" t="s">
        <v>10</v>
      </c>
      <c r="C48" s="3">
        <v>90004</v>
      </c>
      <c r="D48" s="3">
        <v>10</v>
      </c>
      <c r="E48" s="3">
        <v>10</v>
      </c>
      <c r="F48" s="4">
        <v>36250.19</v>
      </c>
      <c r="G48" s="4">
        <f t="shared" si="1"/>
        <v>362501.9</v>
      </c>
      <c r="H48" s="5">
        <v>21.95</v>
      </c>
      <c r="I48" s="3" t="b">
        <f>FALSE()</f>
        <v>0</v>
      </c>
      <c r="J48" s="3" t="b">
        <f>FALSE()</f>
        <v>0</v>
      </c>
      <c r="K48" s="3">
        <v>5</v>
      </c>
    </row>
    <row r="49" spans="1:11" ht="15" customHeight="1" x14ac:dyDescent="0.3">
      <c r="A49" s="2">
        <v>46024</v>
      </c>
      <c r="B49" s="3" t="s">
        <v>65</v>
      </c>
      <c r="C49" s="3">
        <v>90002</v>
      </c>
      <c r="D49" s="3">
        <v>9</v>
      </c>
      <c r="E49" s="3">
        <v>5</v>
      </c>
      <c r="F49" s="4">
        <v>33641.82</v>
      </c>
      <c r="G49" s="4">
        <f t="shared" si="1"/>
        <v>168209.1</v>
      </c>
      <c r="H49" s="5">
        <v>9.85</v>
      </c>
      <c r="I49" s="3" t="b">
        <f>FALSE()</f>
        <v>0</v>
      </c>
      <c r="J49" s="3" t="b">
        <f>FALSE()</f>
        <v>0</v>
      </c>
      <c r="K49" s="3">
        <v>5</v>
      </c>
    </row>
    <row r="50" spans="1:11" ht="15" customHeight="1" x14ac:dyDescent="0.3">
      <c r="A50" s="2">
        <v>46028</v>
      </c>
      <c r="B50" s="3" t="s">
        <v>63</v>
      </c>
      <c r="C50" s="3">
        <v>90001</v>
      </c>
      <c r="D50" s="3">
        <v>4</v>
      </c>
      <c r="E50" s="3">
        <v>6</v>
      </c>
      <c r="F50" s="4">
        <v>47069.71</v>
      </c>
      <c r="G50" s="4">
        <f t="shared" si="1"/>
        <v>282418.26</v>
      </c>
      <c r="H50" s="5">
        <v>11.99</v>
      </c>
      <c r="I50" s="3" t="b">
        <f>TRUE()</f>
        <v>1</v>
      </c>
      <c r="J50" s="3" t="b">
        <f>FALSE()</f>
        <v>0</v>
      </c>
      <c r="K50" s="3">
        <v>2</v>
      </c>
    </row>
    <row r="51" spans="1:11" ht="15" customHeight="1" x14ac:dyDescent="0.3">
      <c r="A51" s="2">
        <v>46030</v>
      </c>
      <c r="B51" s="3" t="s">
        <v>84</v>
      </c>
      <c r="C51" s="3">
        <v>90005</v>
      </c>
      <c r="D51" s="3">
        <v>5</v>
      </c>
      <c r="E51" s="3">
        <v>10</v>
      </c>
      <c r="F51" s="4">
        <v>7822.78</v>
      </c>
      <c r="G51" s="4">
        <f t="shared" si="1"/>
        <v>78227.8</v>
      </c>
      <c r="H51" s="5">
        <v>21.77</v>
      </c>
      <c r="I51" s="3" t="b">
        <f>TRUE()</f>
        <v>1</v>
      </c>
      <c r="J51" s="3" t="b">
        <f>FALSE()</f>
        <v>0</v>
      </c>
      <c r="K51" s="3">
        <v>4</v>
      </c>
    </row>
    <row r="52" spans="1:11" ht="15" customHeight="1" x14ac:dyDescent="0.3">
      <c r="A52" s="2">
        <v>46035</v>
      </c>
      <c r="B52" s="3" t="s">
        <v>76</v>
      </c>
      <c r="C52" s="3">
        <v>90005</v>
      </c>
      <c r="D52" s="3">
        <v>1</v>
      </c>
      <c r="E52" s="3">
        <v>11</v>
      </c>
      <c r="F52" s="4">
        <v>44902.6</v>
      </c>
      <c r="G52" s="4">
        <f t="shared" si="1"/>
        <v>493928.6</v>
      </c>
      <c r="H52" s="5">
        <v>19.440000000000001</v>
      </c>
      <c r="I52" s="3" t="b">
        <f>FALSE()</f>
        <v>0</v>
      </c>
      <c r="J52" s="3" t="b">
        <f>FALSE()</f>
        <v>0</v>
      </c>
      <c r="K52" s="3">
        <v>2</v>
      </c>
    </row>
    <row r="53" spans="1:11" ht="15" customHeight="1" x14ac:dyDescent="0.3">
      <c r="A53" s="2">
        <v>46027</v>
      </c>
      <c r="B53" s="3" t="s">
        <v>75</v>
      </c>
      <c r="C53" s="3">
        <v>90001</v>
      </c>
      <c r="D53" s="3">
        <v>3</v>
      </c>
      <c r="E53" s="3">
        <v>5</v>
      </c>
      <c r="F53" s="4">
        <v>34393.75</v>
      </c>
      <c r="G53" s="4">
        <f t="shared" si="1"/>
        <v>171968.75</v>
      </c>
      <c r="H53" s="5">
        <v>9.6199999999999992</v>
      </c>
      <c r="I53" s="3" t="b">
        <f>FALSE()</f>
        <v>0</v>
      </c>
      <c r="J53" s="3" t="b">
        <f>FALSE()</f>
        <v>0</v>
      </c>
      <c r="K53" s="3">
        <v>1</v>
      </c>
    </row>
    <row r="54" spans="1:11" ht="15" customHeight="1" x14ac:dyDescent="0.3">
      <c r="A54" s="2">
        <v>46024</v>
      </c>
      <c r="B54" s="3" t="s">
        <v>69</v>
      </c>
      <c r="C54" s="3">
        <v>90005</v>
      </c>
      <c r="D54" s="3">
        <v>3</v>
      </c>
      <c r="E54" s="3">
        <v>5</v>
      </c>
      <c r="F54" s="4">
        <v>11084.93</v>
      </c>
      <c r="G54" s="4">
        <f t="shared" si="1"/>
        <v>55424.65</v>
      </c>
      <c r="H54" s="5">
        <v>11.94</v>
      </c>
      <c r="I54" s="3" t="b">
        <f>FALSE()</f>
        <v>0</v>
      </c>
      <c r="J54" s="3" t="b">
        <f>FALSE()</f>
        <v>0</v>
      </c>
      <c r="K54" s="3">
        <v>5</v>
      </c>
    </row>
    <row r="55" spans="1:11" ht="15" customHeight="1" x14ac:dyDescent="0.3">
      <c r="A55" s="2">
        <v>46026</v>
      </c>
      <c r="B55" s="3" t="s">
        <v>60</v>
      </c>
      <c r="C55" s="3">
        <v>90003</v>
      </c>
      <c r="D55" s="3">
        <v>4</v>
      </c>
      <c r="E55" s="3">
        <v>11</v>
      </c>
      <c r="F55" s="4">
        <v>20693.03</v>
      </c>
      <c r="G55" s="4">
        <f t="shared" si="1"/>
        <v>227623.33</v>
      </c>
      <c r="H55" s="5">
        <v>16.88</v>
      </c>
      <c r="I55" s="3" t="b">
        <f>FALSE()</f>
        <v>0</v>
      </c>
      <c r="J55" s="3" t="b">
        <f>TRUE()</f>
        <v>1</v>
      </c>
      <c r="K55" s="3">
        <v>7</v>
      </c>
    </row>
    <row r="56" spans="1:11" ht="15" customHeight="1" x14ac:dyDescent="0.3">
      <c r="A56" s="2">
        <v>46027</v>
      </c>
      <c r="B56" s="3" t="s">
        <v>68</v>
      </c>
      <c r="C56" s="3">
        <v>90004</v>
      </c>
      <c r="D56" s="3">
        <v>5</v>
      </c>
      <c r="E56" s="3">
        <v>15</v>
      </c>
      <c r="F56" s="4">
        <v>14462.91</v>
      </c>
      <c r="G56" s="4">
        <f t="shared" si="1"/>
        <v>216943.65</v>
      </c>
      <c r="H56" s="5">
        <v>20.71</v>
      </c>
      <c r="I56" s="3" t="b">
        <f>TRUE()</f>
        <v>1</v>
      </c>
      <c r="J56" s="3" t="b">
        <f>FALSE()</f>
        <v>0</v>
      </c>
      <c r="K56" s="3">
        <v>1</v>
      </c>
    </row>
    <row r="57" spans="1:11" ht="15" customHeight="1" x14ac:dyDescent="0.3">
      <c r="A57" s="2">
        <v>46023</v>
      </c>
      <c r="B57" s="3" t="s">
        <v>73</v>
      </c>
      <c r="C57" s="3">
        <v>90004</v>
      </c>
      <c r="D57" s="3">
        <v>5</v>
      </c>
      <c r="E57" s="3">
        <v>1</v>
      </c>
      <c r="F57" s="4">
        <v>17301.52</v>
      </c>
      <c r="G57" s="4">
        <f t="shared" si="1"/>
        <v>17301.52</v>
      </c>
      <c r="H57" s="5">
        <v>8.0500000000000007</v>
      </c>
      <c r="I57" s="3" t="b">
        <f>FALSE()</f>
        <v>0</v>
      </c>
      <c r="J57" s="3" t="b">
        <f>FALSE()</f>
        <v>0</v>
      </c>
      <c r="K57" s="3">
        <v>4</v>
      </c>
    </row>
    <row r="58" spans="1:11" ht="15" customHeight="1" x14ac:dyDescent="0.3">
      <c r="A58" s="2">
        <v>46035</v>
      </c>
      <c r="B58" s="3" t="s">
        <v>35</v>
      </c>
      <c r="C58" s="3">
        <v>90003</v>
      </c>
      <c r="D58" s="3">
        <v>3</v>
      </c>
      <c r="E58" s="3">
        <v>12</v>
      </c>
      <c r="F58" s="4">
        <v>41296.5</v>
      </c>
      <c r="G58" s="4">
        <f t="shared" si="1"/>
        <v>495558</v>
      </c>
      <c r="H58" s="5">
        <v>14.19</v>
      </c>
      <c r="I58" s="3" t="b">
        <f>FALSE()</f>
        <v>0</v>
      </c>
      <c r="J58" s="3" t="b">
        <f>FALSE()</f>
        <v>0</v>
      </c>
      <c r="K58" s="3">
        <v>2</v>
      </c>
    </row>
    <row r="59" spans="1:11" ht="15" customHeight="1" x14ac:dyDescent="0.3">
      <c r="A59" s="2">
        <v>46034</v>
      </c>
      <c r="B59" s="3" t="s">
        <v>67</v>
      </c>
      <c r="C59" s="3">
        <v>90005</v>
      </c>
      <c r="D59" s="3">
        <v>1</v>
      </c>
      <c r="E59" s="3">
        <v>2</v>
      </c>
      <c r="F59" s="4">
        <v>13339.56</v>
      </c>
      <c r="G59" s="4">
        <f t="shared" si="1"/>
        <v>26679.119999999999</v>
      </c>
      <c r="H59" s="5">
        <v>9.0500000000000007</v>
      </c>
      <c r="I59" s="3" t="b">
        <f>FALSE()</f>
        <v>0</v>
      </c>
      <c r="J59" s="3" t="b">
        <f>FALSE()</f>
        <v>0</v>
      </c>
      <c r="K59" s="3">
        <v>1</v>
      </c>
    </row>
    <row r="60" spans="1:11" ht="15" customHeight="1" x14ac:dyDescent="0.3">
      <c r="A60" s="2">
        <v>46034</v>
      </c>
      <c r="B60" s="3" t="s">
        <v>63</v>
      </c>
      <c r="C60" s="3">
        <v>90002</v>
      </c>
      <c r="D60" s="3">
        <v>9</v>
      </c>
      <c r="E60" s="3">
        <v>1</v>
      </c>
      <c r="F60" s="4">
        <v>47069.71</v>
      </c>
      <c r="G60" s="4">
        <f t="shared" si="1"/>
        <v>47069.71</v>
      </c>
      <c r="H60" s="5">
        <v>19.68</v>
      </c>
      <c r="I60" s="3" t="b">
        <f>TRUE()</f>
        <v>1</v>
      </c>
      <c r="J60" s="3" t="b">
        <f>FALSE()</f>
        <v>0</v>
      </c>
      <c r="K60" s="3">
        <v>1</v>
      </c>
    </row>
    <row r="61" spans="1:11" ht="15" customHeight="1" x14ac:dyDescent="0.3">
      <c r="A61" s="2">
        <v>46032</v>
      </c>
      <c r="B61" s="3" t="s">
        <v>65</v>
      </c>
      <c r="C61" s="3">
        <v>90002</v>
      </c>
      <c r="D61" s="3">
        <v>7</v>
      </c>
      <c r="E61" s="3">
        <v>3</v>
      </c>
      <c r="F61" s="4">
        <v>33641.82</v>
      </c>
      <c r="G61" s="4">
        <f t="shared" si="1"/>
        <v>100925.45999999999</v>
      </c>
      <c r="H61" s="5">
        <v>8.59</v>
      </c>
      <c r="I61" s="3" t="b">
        <f>FALSE()</f>
        <v>0</v>
      </c>
      <c r="J61" s="3" t="b">
        <f>FALSE()</f>
        <v>0</v>
      </c>
      <c r="K61" s="3">
        <v>6</v>
      </c>
    </row>
    <row r="62" spans="1:11" ht="15" customHeight="1" x14ac:dyDescent="0.3">
      <c r="A62" s="2">
        <v>46028</v>
      </c>
      <c r="B62" s="3" t="s">
        <v>63</v>
      </c>
      <c r="C62" s="3">
        <v>90001</v>
      </c>
      <c r="D62" s="3">
        <v>6</v>
      </c>
      <c r="E62" s="3">
        <v>4</v>
      </c>
      <c r="F62" s="4">
        <v>47069.71</v>
      </c>
      <c r="G62" s="4">
        <f t="shared" si="1"/>
        <v>188278.84</v>
      </c>
      <c r="H62" s="5">
        <v>17.55</v>
      </c>
      <c r="I62" s="3" t="b">
        <f>TRUE()</f>
        <v>1</v>
      </c>
      <c r="J62" s="3" t="b">
        <f>FALSE()</f>
        <v>0</v>
      </c>
      <c r="K62" s="3">
        <v>2</v>
      </c>
    </row>
    <row r="63" spans="1:11" ht="15" customHeight="1" x14ac:dyDescent="0.3">
      <c r="A63" s="2">
        <v>46033</v>
      </c>
      <c r="B63" s="3" t="s">
        <v>80</v>
      </c>
      <c r="C63" s="3">
        <v>90003</v>
      </c>
      <c r="D63" s="3">
        <v>9</v>
      </c>
      <c r="E63" s="3">
        <v>15</v>
      </c>
      <c r="F63" s="4">
        <v>14606.96</v>
      </c>
      <c r="G63" s="4">
        <f t="shared" si="1"/>
        <v>219104.4</v>
      </c>
      <c r="H63" s="5">
        <v>20.25</v>
      </c>
      <c r="I63" s="3" t="b">
        <f>FALSE()</f>
        <v>0</v>
      </c>
      <c r="J63" s="3" t="b">
        <f>TRUE()</f>
        <v>1</v>
      </c>
      <c r="K63" s="3">
        <v>7</v>
      </c>
    </row>
    <row r="64" spans="1:11" ht="15" customHeight="1" x14ac:dyDescent="0.3">
      <c r="A64" s="2">
        <v>46032</v>
      </c>
      <c r="B64" s="3" t="s">
        <v>69</v>
      </c>
      <c r="C64" s="3">
        <v>90002</v>
      </c>
      <c r="D64" s="3">
        <v>4</v>
      </c>
      <c r="E64" s="3">
        <v>14</v>
      </c>
      <c r="F64" s="4">
        <v>11084.93</v>
      </c>
      <c r="G64" s="4">
        <f t="shared" si="1"/>
        <v>155189.02000000002</v>
      </c>
      <c r="H64" s="5">
        <v>10.28</v>
      </c>
      <c r="I64" s="3" t="b">
        <f>FALSE()</f>
        <v>0</v>
      </c>
      <c r="J64" s="3" t="b">
        <f>FALSE()</f>
        <v>0</v>
      </c>
      <c r="K64" s="3">
        <v>6</v>
      </c>
    </row>
    <row r="65" spans="1:11" ht="15" customHeight="1" x14ac:dyDescent="0.3">
      <c r="A65" s="2">
        <v>46035</v>
      </c>
      <c r="B65" s="3" t="s">
        <v>82</v>
      </c>
      <c r="C65" s="3">
        <v>90002</v>
      </c>
      <c r="D65" s="3">
        <v>7</v>
      </c>
      <c r="E65" s="3">
        <v>1</v>
      </c>
      <c r="F65" s="4">
        <v>20502.919999999998</v>
      </c>
      <c r="G65" s="4">
        <f t="shared" si="1"/>
        <v>20502.919999999998</v>
      </c>
      <c r="H65" s="5">
        <v>10.51</v>
      </c>
      <c r="I65" s="3" t="b">
        <f>FALSE()</f>
        <v>0</v>
      </c>
      <c r="J65" s="3" t="b">
        <f>FALSE()</f>
        <v>0</v>
      </c>
      <c r="K65" s="3">
        <v>2</v>
      </c>
    </row>
    <row r="66" spans="1:11" ht="15" customHeight="1" x14ac:dyDescent="0.3">
      <c r="A66" s="2">
        <v>46028</v>
      </c>
      <c r="B66" s="3" t="s">
        <v>82</v>
      </c>
      <c r="C66" s="3">
        <v>90004</v>
      </c>
      <c r="D66" s="3">
        <v>4</v>
      </c>
      <c r="E66" s="3">
        <v>5</v>
      </c>
      <c r="F66" s="4">
        <v>20502.919999999998</v>
      </c>
      <c r="G66" s="4">
        <f t="shared" ref="G66:G97" si="2">F66*E66</f>
        <v>102514.59999999999</v>
      </c>
      <c r="H66" s="5">
        <v>10.23</v>
      </c>
      <c r="I66" s="3" t="b">
        <f>FALSE()</f>
        <v>0</v>
      </c>
      <c r="J66" s="3" t="b">
        <f>FALSE()</f>
        <v>0</v>
      </c>
      <c r="K66" s="3">
        <v>2</v>
      </c>
    </row>
    <row r="67" spans="1:11" ht="15" customHeight="1" x14ac:dyDescent="0.3">
      <c r="A67" s="2">
        <v>46034</v>
      </c>
      <c r="B67" s="3" t="s">
        <v>80</v>
      </c>
      <c r="C67" s="3">
        <v>90004</v>
      </c>
      <c r="D67" s="3">
        <v>1</v>
      </c>
      <c r="E67" s="3">
        <v>14</v>
      </c>
      <c r="F67" s="4">
        <v>14606.96</v>
      </c>
      <c r="G67" s="4">
        <f t="shared" si="2"/>
        <v>204497.44</v>
      </c>
      <c r="H67" s="5">
        <v>14.59</v>
      </c>
      <c r="I67" s="3" t="b">
        <f>FALSE()</f>
        <v>0</v>
      </c>
      <c r="J67" s="3" t="b">
        <f>FALSE()</f>
        <v>0</v>
      </c>
      <c r="K67" s="3">
        <v>1</v>
      </c>
    </row>
    <row r="68" spans="1:11" ht="15" customHeight="1" x14ac:dyDescent="0.3">
      <c r="A68" s="2">
        <v>46026</v>
      </c>
      <c r="B68" s="3" t="s">
        <v>84</v>
      </c>
      <c r="C68" s="3">
        <v>90004</v>
      </c>
      <c r="D68" s="3">
        <v>6</v>
      </c>
      <c r="E68" s="3">
        <v>5</v>
      </c>
      <c r="F68" s="4">
        <v>7822.78</v>
      </c>
      <c r="G68" s="4">
        <f t="shared" si="2"/>
        <v>39113.9</v>
      </c>
      <c r="H68" s="5">
        <v>19.489999999999998</v>
      </c>
      <c r="I68" s="3" t="b">
        <f>TRUE()</f>
        <v>1</v>
      </c>
      <c r="J68" s="3" t="b">
        <f>TRUE()</f>
        <v>1</v>
      </c>
      <c r="K68" s="3">
        <v>7</v>
      </c>
    </row>
    <row r="69" spans="1:11" ht="15" customHeight="1" x14ac:dyDescent="0.3">
      <c r="A69" s="2">
        <v>46036</v>
      </c>
      <c r="B69" s="3" t="s">
        <v>77</v>
      </c>
      <c r="C69" s="3">
        <v>90002</v>
      </c>
      <c r="D69" s="3">
        <v>1</v>
      </c>
      <c r="E69" s="3">
        <v>11</v>
      </c>
      <c r="F69" s="4">
        <v>7520.82</v>
      </c>
      <c r="G69" s="4">
        <f t="shared" si="2"/>
        <v>82729.01999999999</v>
      </c>
      <c r="H69" s="5">
        <v>10.7</v>
      </c>
      <c r="I69" s="3" t="b">
        <f>FALSE()</f>
        <v>0</v>
      </c>
      <c r="J69" s="3" t="b">
        <f>TRUE()</f>
        <v>1</v>
      </c>
      <c r="K69" s="3">
        <v>3</v>
      </c>
    </row>
    <row r="70" spans="1:11" ht="15" customHeight="1" x14ac:dyDescent="0.3">
      <c r="A70" s="2">
        <v>46028</v>
      </c>
      <c r="B70" s="3" t="s">
        <v>81</v>
      </c>
      <c r="C70" s="3">
        <v>90001</v>
      </c>
      <c r="D70" s="3">
        <v>5</v>
      </c>
      <c r="E70" s="3">
        <v>6</v>
      </c>
      <c r="F70" s="4">
        <v>24939.93</v>
      </c>
      <c r="G70" s="4">
        <f t="shared" si="2"/>
        <v>149639.58000000002</v>
      </c>
      <c r="H70" s="5">
        <v>16.98</v>
      </c>
      <c r="I70" s="3" t="b">
        <f>FALSE()</f>
        <v>0</v>
      </c>
      <c r="J70" s="3" t="b">
        <f>FALSE()</f>
        <v>0</v>
      </c>
      <c r="K70" s="3">
        <v>2</v>
      </c>
    </row>
    <row r="71" spans="1:11" ht="15" customHeight="1" x14ac:dyDescent="0.3">
      <c r="A71" s="2">
        <v>46029</v>
      </c>
      <c r="B71" s="3" t="s">
        <v>79</v>
      </c>
      <c r="C71" s="3">
        <v>90005</v>
      </c>
      <c r="D71" s="3">
        <v>6</v>
      </c>
      <c r="E71" s="3">
        <v>1</v>
      </c>
      <c r="F71" s="4">
        <v>39303.25</v>
      </c>
      <c r="G71" s="4">
        <f t="shared" si="2"/>
        <v>39303.25</v>
      </c>
      <c r="H71" s="5">
        <v>9.61</v>
      </c>
      <c r="I71" s="3" t="b">
        <f>TRUE()</f>
        <v>1</v>
      </c>
      <c r="J71" s="3" t="b">
        <f>FALSE()</f>
        <v>0</v>
      </c>
      <c r="K71" s="3">
        <v>3</v>
      </c>
    </row>
    <row r="72" spans="1:11" ht="15" customHeight="1" x14ac:dyDescent="0.3">
      <c r="A72" s="2">
        <v>46027</v>
      </c>
      <c r="B72" s="3" t="s">
        <v>74</v>
      </c>
      <c r="C72" s="3">
        <v>90005</v>
      </c>
      <c r="D72" s="3">
        <v>5</v>
      </c>
      <c r="E72" s="3">
        <v>1</v>
      </c>
      <c r="F72" s="4">
        <v>38188.370000000003</v>
      </c>
      <c r="G72" s="4">
        <f t="shared" si="2"/>
        <v>38188.370000000003</v>
      </c>
      <c r="H72" s="5">
        <v>9.52</v>
      </c>
      <c r="I72" s="3" t="b">
        <f>FALSE()</f>
        <v>0</v>
      </c>
      <c r="J72" s="3" t="b">
        <f>FALSE()</f>
        <v>0</v>
      </c>
      <c r="K72" s="3">
        <v>1</v>
      </c>
    </row>
    <row r="73" spans="1:11" ht="15" customHeight="1" x14ac:dyDescent="0.3">
      <c r="A73" s="2">
        <v>46029</v>
      </c>
      <c r="B73" s="3" t="s">
        <v>66</v>
      </c>
      <c r="C73" s="3">
        <v>90003</v>
      </c>
      <c r="D73" s="3">
        <v>7</v>
      </c>
      <c r="E73" s="3">
        <v>10</v>
      </c>
      <c r="F73" s="4">
        <v>29278.47</v>
      </c>
      <c r="G73" s="4">
        <f t="shared" si="2"/>
        <v>292784.7</v>
      </c>
      <c r="H73" s="5">
        <v>21.78</v>
      </c>
      <c r="I73" s="3" t="b">
        <f>TRUE()</f>
        <v>1</v>
      </c>
      <c r="J73" s="3" t="b">
        <f>FALSE()</f>
        <v>0</v>
      </c>
      <c r="K73" s="3">
        <v>3</v>
      </c>
    </row>
    <row r="74" spans="1:11" ht="15" customHeight="1" x14ac:dyDescent="0.3">
      <c r="A74" s="2">
        <v>46024</v>
      </c>
      <c r="B74" s="3" t="s">
        <v>62</v>
      </c>
      <c r="C74" s="3">
        <v>90005</v>
      </c>
      <c r="D74" s="3">
        <v>4</v>
      </c>
      <c r="E74" s="3">
        <v>5</v>
      </c>
      <c r="F74" s="4">
        <v>4379.87</v>
      </c>
      <c r="G74" s="4">
        <f t="shared" si="2"/>
        <v>21899.35</v>
      </c>
      <c r="H74" s="5">
        <v>8.6199999999999992</v>
      </c>
      <c r="I74" s="3" t="b">
        <f>TRUE()</f>
        <v>1</v>
      </c>
      <c r="J74" s="3" t="b">
        <f>FALSE()</f>
        <v>0</v>
      </c>
      <c r="K74" s="3">
        <v>5</v>
      </c>
    </row>
    <row r="75" spans="1:11" ht="15" customHeight="1" x14ac:dyDescent="0.3">
      <c r="A75" s="2">
        <v>46029</v>
      </c>
      <c r="B75" s="3" t="s">
        <v>10</v>
      </c>
      <c r="C75" s="3">
        <v>90005</v>
      </c>
      <c r="D75" s="3">
        <v>9</v>
      </c>
      <c r="E75" s="3">
        <v>11</v>
      </c>
      <c r="F75" s="4">
        <v>36250.19</v>
      </c>
      <c r="G75" s="4">
        <f t="shared" si="2"/>
        <v>398752.09</v>
      </c>
      <c r="H75" s="5">
        <v>18.07</v>
      </c>
      <c r="I75" s="3" t="b">
        <f>FALSE()</f>
        <v>0</v>
      </c>
      <c r="J75" s="3" t="b">
        <f>FALSE()</f>
        <v>0</v>
      </c>
      <c r="K75" s="3">
        <v>3</v>
      </c>
    </row>
    <row r="76" spans="1:11" ht="15" customHeight="1" x14ac:dyDescent="0.3">
      <c r="A76" s="2">
        <v>46034</v>
      </c>
      <c r="B76" s="3" t="s">
        <v>69</v>
      </c>
      <c r="C76" s="3">
        <v>90002</v>
      </c>
      <c r="D76" s="3">
        <v>6</v>
      </c>
      <c r="E76" s="3">
        <v>7</v>
      </c>
      <c r="F76" s="4">
        <v>11084.93</v>
      </c>
      <c r="G76" s="4">
        <f t="shared" si="2"/>
        <v>77594.510000000009</v>
      </c>
      <c r="H76" s="5">
        <v>8.98</v>
      </c>
      <c r="I76" s="3" t="b">
        <f>FALSE()</f>
        <v>0</v>
      </c>
      <c r="J76" s="3" t="b">
        <f>FALSE()</f>
        <v>0</v>
      </c>
      <c r="K76" s="3">
        <v>1</v>
      </c>
    </row>
    <row r="77" spans="1:11" ht="15" customHeight="1" x14ac:dyDescent="0.3">
      <c r="A77" s="2">
        <v>46033</v>
      </c>
      <c r="B77" s="3" t="s">
        <v>75</v>
      </c>
      <c r="C77" s="3">
        <v>90003</v>
      </c>
      <c r="D77" s="3">
        <v>10</v>
      </c>
      <c r="E77" s="3">
        <v>6</v>
      </c>
      <c r="F77" s="4">
        <v>34393.75</v>
      </c>
      <c r="G77" s="4">
        <f t="shared" si="2"/>
        <v>206362.5</v>
      </c>
      <c r="H77" s="5">
        <v>17.29</v>
      </c>
      <c r="I77" s="3" t="b">
        <f>FALSE()</f>
        <v>0</v>
      </c>
      <c r="J77" s="3" t="b">
        <f>TRUE()</f>
        <v>1</v>
      </c>
      <c r="K77" s="3">
        <v>7</v>
      </c>
    </row>
    <row r="78" spans="1:11" ht="15" customHeight="1" x14ac:dyDescent="0.3">
      <c r="A78" s="2">
        <v>46024</v>
      </c>
      <c r="B78" s="3" t="s">
        <v>69</v>
      </c>
      <c r="C78" s="3">
        <v>90003</v>
      </c>
      <c r="D78" s="3">
        <v>9</v>
      </c>
      <c r="E78" s="3">
        <v>5</v>
      </c>
      <c r="F78" s="4">
        <v>11084.93</v>
      </c>
      <c r="G78" s="4">
        <f t="shared" si="2"/>
        <v>55424.65</v>
      </c>
      <c r="H78" s="5">
        <v>17.34</v>
      </c>
      <c r="I78" s="3" t="b">
        <f>FALSE()</f>
        <v>0</v>
      </c>
      <c r="J78" s="3" t="b">
        <f>FALSE()</f>
        <v>0</v>
      </c>
      <c r="K78" s="3">
        <v>5</v>
      </c>
    </row>
    <row r="79" spans="1:11" ht="15" customHeight="1" x14ac:dyDescent="0.3">
      <c r="A79" s="2">
        <v>46028</v>
      </c>
      <c r="B79" s="3" t="s">
        <v>62</v>
      </c>
      <c r="C79" s="3">
        <v>90003</v>
      </c>
      <c r="D79" s="3">
        <v>9</v>
      </c>
      <c r="E79" s="3">
        <v>3</v>
      </c>
      <c r="F79" s="4">
        <v>4379.87</v>
      </c>
      <c r="G79" s="4">
        <f t="shared" si="2"/>
        <v>13139.61</v>
      </c>
      <c r="H79" s="5">
        <v>10.69</v>
      </c>
      <c r="I79" s="3" t="b">
        <f>TRUE()</f>
        <v>1</v>
      </c>
      <c r="J79" s="3" t="b">
        <f>FALSE()</f>
        <v>0</v>
      </c>
      <c r="K79" s="3">
        <v>2</v>
      </c>
    </row>
    <row r="80" spans="1:11" ht="15" customHeight="1" x14ac:dyDescent="0.3">
      <c r="A80" s="2">
        <v>46033</v>
      </c>
      <c r="B80" s="3" t="s">
        <v>62</v>
      </c>
      <c r="C80" s="3">
        <v>90002</v>
      </c>
      <c r="D80" s="3">
        <v>10</v>
      </c>
      <c r="E80" s="3">
        <v>10</v>
      </c>
      <c r="F80" s="4">
        <v>4379.87</v>
      </c>
      <c r="G80" s="4">
        <f t="shared" si="2"/>
        <v>43798.7</v>
      </c>
      <c r="H80" s="5">
        <v>12.21</v>
      </c>
      <c r="I80" s="3" t="b">
        <f>TRUE()</f>
        <v>1</v>
      </c>
      <c r="J80" s="3" t="b">
        <f>TRUE()</f>
        <v>1</v>
      </c>
      <c r="K80" s="3">
        <v>7</v>
      </c>
    </row>
    <row r="81" spans="1:11" ht="15" customHeight="1" x14ac:dyDescent="0.3">
      <c r="A81" s="2">
        <v>46031</v>
      </c>
      <c r="B81" s="3" t="s">
        <v>84</v>
      </c>
      <c r="C81" s="3">
        <v>90001</v>
      </c>
      <c r="D81" s="3">
        <v>5</v>
      </c>
      <c r="E81" s="3">
        <v>5</v>
      </c>
      <c r="F81" s="4">
        <v>7822.78</v>
      </c>
      <c r="G81" s="4">
        <f t="shared" si="2"/>
        <v>39113.9</v>
      </c>
      <c r="H81" s="5">
        <v>10.94</v>
      </c>
      <c r="I81" s="3" t="b">
        <f>TRUE()</f>
        <v>1</v>
      </c>
      <c r="J81" s="3" t="b">
        <f>FALSE()</f>
        <v>0</v>
      </c>
      <c r="K81" s="3">
        <v>5</v>
      </c>
    </row>
    <row r="82" spans="1:11" ht="15" customHeight="1" x14ac:dyDescent="0.3">
      <c r="A82" s="2">
        <v>46035</v>
      </c>
      <c r="B82" s="3" t="s">
        <v>85</v>
      </c>
      <c r="C82" s="3">
        <v>90005</v>
      </c>
      <c r="D82" s="3">
        <v>6</v>
      </c>
      <c r="E82" s="3">
        <v>8</v>
      </c>
      <c r="F82" s="4">
        <v>45090.38</v>
      </c>
      <c r="G82" s="4">
        <f t="shared" si="2"/>
        <v>360723.04</v>
      </c>
      <c r="H82" s="5">
        <v>14.19</v>
      </c>
      <c r="I82" s="3" t="b">
        <f>FALSE()</f>
        <v>0</v>
      </c>
      <c r="J82" s="3" t="b">
        <f>FALSE()</f>
        <v>0</v>
      </c>
      <c r="K82" s="3">
        <v>2</v>
      </c>
    </row>
    <row r="83" spans="1:11" ht="15" customHeight="1" x14ac:dyDescent="0.3">
      <c r="A83" s="2">
        <v>46033</v>
      </c>
      <c r="B83" s="3" t="s">
        <v>83</v>
      </c>
      <c r="C83" s="3">
        <v>90005</v>
      </c>
      <c r="D83" s="3">
        <v>8</v>
      </c>
      <c r="E83" s="3">
        <v>13</v>
      </c>
      <c r="F83" s="4">
        <v>49393.34</v>
      </c>
      <c r="G83" s="4">
        <f t="shared" si="2"/>
        <v>642113.41999999993</v>
      </c>
      <c r="H83" s="5">
        <v>20.62</v>
      </c>
      <c r="I83" s="3" t="b">
        <f>FALSE()</f>
        <v>0</v>
      </c>
      <c r="J83" s="3" t="b">
        <f>TRUE()</f>
        <v>1</v>
      </c>
      <c r="K83" s="3">
        <v>7</v>
      </c>
    </row>
    <row r="84" spans="1:11" ht="15" customHeight="1" x14ac:dyDescent="0.3">
      <c r="A84" s="2">
        <v>46035</v>
      </c>
      <c r="B84" s="3" t="s">
        <v>69</v>
      </c>
      <c r="C84" s="3">
        <v>90002</v>
      </c>
      <c r="D84" s="3">
        <v>2</v>
      </c>
      <c r="E84" s="3">
        <v>5</v>
      </c>
      <c r="F84" s="4">
        <v>11084.93</v>
      </c>
      <c r="G84" s="4">
        <f t="shared" si="2"/>
        <v>55424.65</v>
      </c>
      <c r="H84" s="5">
        <v>15.22</v>
      </c>
      <c r="I84" s="3" t="b">
        <f>FALSE()</f>
        <v>0</v>
      </c>
      <c r="J84" s="3" t="b">
        <f>FALSE()</f>
        <v>0</v>
      </c>
      <c r="K84" s="3">
        <v>2</v>
      </c>
    </row>
    <row r="85" spans="1:11" ht="15" customHeight="1" x14ac:dyDescent="0.3">
      <c r="A85" s="2">
        <v>46033</v>
      </c>
      <c r="B85" s="3" t="s">
        <v>72</v>
      </c>
      <c r="C85" s="3">
        <v>90003</v>
      </c>
      <c r="D85" s="3">
        <v>2</v>
      </c>
      <c r="E85" s="3">
        <v>14</v>
      </c>
      <c r="F85" s="4">
        <v>3337.94</v>
      </c>
      <c r="G85" s="4">
        <f t="shared" si="2"/>
        <v>46731.16</v>
      </c>
      <c r="H85" s="5">
        <v>21.33</v>
      </c>
      <c r="I85" s="3" t="b">
        <f>FALSE()</f>
        <v>0</v>
      </c>
      <c r="J85" s="3" t="b">
        <f>TRUE()</f>
        <v>1</v>
      </c>
      <c r="K85" s="3">
        <v>7</v>
      </c>
    </row>
    <row r="86" spans="1:11" ht="15" customHeight="1" x14ac:dyDescent="0.3">
      <c r="A86" s="2">
        <v>46026</v>
      </c>
      <c r="B86" s="3" t="s">
        <v>79</v>
      </c>
      <c r="C86" s="3">
        <v>90003</v>
      </c>
      <c r="D86" s="3">
        <v>4</v>
      </c>
      <c r="E86" s="3">
        <v>13</v>
      </c>
      <c r="F86" s="4">
        <v>39303.25</v>
      </c>
      <c r="G86" s="4">
        <f t="shared" si="2"/>
        <v>510942.25</v>
      </c>
      <c r="H86" s="5">
        <v>10.79</v>
      </c>
      <c r="I86" s="3" t="b">
        <f>TRUE()</f>
        <v>1</v>
      </c>
      <c r="J86" s="3" t="b">
        <f>TRUE()</f>
        <v>1</v>
      </c>
      <c r="K86" s="3">
        <v>7</v>
      </c>
    </row>
    <row r="87" spans="1:11" ht="15" customHeight="1" x14ac:dyDescent="0.3">
      <c r="A87" s="2">
        <v>46023</v>
      </c>
      <c r="B87" s="3" t="s">
        <v>11</v>
      </c>
      <c r="C87" s="3">
        <v>90002</v>
      </c>
      <c r="D87" s="3">
        <v>8</v>
      </c>
      <c r="E87" s="3">
        <v>10</v>
      </c>
      <c r="F87" s="4">
        <v>4300.5600000000004</v>
      </c>
      <c r="G87" s="4">
        <f t="shared" si="2"/>
        <v>43005.600000000006</v>
      </c>
      <c r="H87" s="5">
        <v>19.899999999999999</v>
      </c>
      <c r="I87" s="3" t="b">
        <f>FALSE()</f>
        <v>0</v>
      </c>
      <c r="J87" s="3" t="b">
        <f>FALSE()</f>
        <v>0</v>
      </c>
      <c r="K87" s="3">
        <v>4</v>
      </c>
    </row>
    <row r="88" spans="1:11" ht="15" customHeight="1" x14ac:dyDescent="0.3">
      <c r="A88" s="2">
        <v>46024</v>
      </c>
      <c r="B88" s="3" t="s">
        <v>64</v>
      </c>
      <c r="C88" s="3">
        <v>90004</v>
      </c>
      <c r="D88" s="3">
        <v>10</v>
      </c>
      <c r="E88" s="3">
        <v>4</v>
      </c>
      <c r="F88" s="4">
        <v>36793.99</v>
      </c>
      <c r="G88" s="4">
        <f t="shared" si="2"/>
        <v>147175.96</v>
      </c>
      <c r="H88" s="5">
        <v>18.059999999999999</v>
      </c>
      <c r="I88" s="3" t="b">
        <f>TRUE()</f>
        <v>1</v>
      </c>
      <c r="J88" s="3" t="b">
        <f>FALSE()</f>
        <v>0</v>
      </c>
      <c r="K88" s="3">
        <v>5</v>
      </c>
    </row>
    <row r="89" spans="1:11" ht="15" customHeight="1" x14ac:dyDescent="0.3">
      <c r="A89" s="2">
        <v>46029</v>
      </c>
      <c r="B89" s="3" t="s">
        <v>78</v>
      </c>
      <c r="C89" s="3">
        <v>90004</v>
      </c>
      <c r="D89" s="3">
        <v>4</v>
      </c>
      <c r="E89" s="3">
        <v>3</v>
      </c>
      <c r="F89" s="4">
        <v>31336.959999999999</v>
      </c>
      <c r="G89" s="4">
        <f t="shared" si="2"/>
        <v>94010.880000000005</v>
      </c>
      <c r="H89" s="5">
        <v>17.18</v>
      </c>
      <c r="I89" s="3" t="b">
        <f>TRUE()</f>
        <v>1</v>
      </c>
      <c r="J89" s="3" t="b">
        <f>FALSE()</f>
        <v>0</v>
      </c>
      <c r="K89" s="3">
        <v>3</v>
      </c>
    </row>
    <row r="90" spans="1:11" ht="15" customHeight="1" x14ac:dyDescent="0.3">
      <c r="A90" s="2">
        <v>46023</v>
      </c>
      <c r="B90" s="3" t="s">
        <v>63</v>
      </c>
      <c r="C90" s="3">
        <v>90001</v>
      </c>
      <c r="D90" s="3">
        <v>7</v>
      </c>
      <c r="E90" s="3">
        <v>4</v>
      </c>
      <c r="F90" s="4">
        <v>47069.71</v>
      </c>
      <c r="G90" s="4">
        <f t="shared" si="2"/>
        <v>188278.84</v>
      </c>
      <c r="H90" s="5">
        <v>10.46</v>
      </c>
      <c r="I90" s="3" t="b">
        <f>TRUE()</f>
        <v>1</v>
      </c>
      <c r="J90" s="3" t="b">
        <f>FALSE()</f>
        <v>0</v>
      </c>
      <c r="K90" s="3">
        <v>4</v>
      </c>
    </row>
    <row r="91" spans="1:11" ht="15" customHeight="1" x14ac:dyDescent="0.3">
      <c r="A91" s="2">
        <v>46034</v>
      </c>
      <c r="B91" s="3" t="s">
        <v>68</v>
      </c>
      <c r="C91" s="3">
        <v>90004</v>
      </c>
      <c r="D91" s="3">
        <v>1</v>
      </c>
      <c r="E91" s="3">
        <v>9</v>
      </c>
      <c r="F91" s="4">
        <v>14462.91</v>
      </c>
      <c r="G91" s="4">
        <f t="shared" si="2"/>
        <v>130166.19</v>
      </c>
      <c r="H91" s="5">
        <v>11.49</v>
      </c>
      <c r="I91" s="3" t="b">
        <f>TRUE()</f>
        <v>1</v>
      </c>
      <c r="J91" s="3" t="b">
        <f>FALSE()</f>
        <v>0</v>
      </c>
      <c r="K91" s="3">
        <v>1</v>
      </c>
    </row>
    <row r="92" spans="1:11" ht="15" customHeight="1" x14ac:dyDescent="0.3">
      <c r="A92" s="2">
        <v>46036</v>
      </c>
      <c r="B92" s="3" t="s">
        <v>80</v>
      </c>
      <c r="C92" s="3">
        <v>90004</v>
      </c>
      <c r="D92" s="3">
        <v>3</v>
      </c>
      <c r="E92" s="3">
        <v>13</v>
      </c>
      <c r="F92" s="4">
        <v>14606.96</v>
      </c>
      <c r="G92" s="4">
        <f t="shared" si="2"/>
        <v>189890.47999999998</v>
      </c>
      <c r="H92" s="5">
        <v>14.51</v>
      </c>
      <c r="I92" s="3" t="b">
        <f>FALSE()</f>
        <v>0</v>
      </c>
      <c r="J92" s="3" t="b">
        <f>TRUE()</f>
        <v>1</v>
      </c>
      <c r="K92" s="3">
        <v>3</v>
      </c>
    </row>
    <row r="93" spans="1:11" ht="15" customHeight="1" x14ac:dyDescent="0.3">
      <c r="A93" s="2">
        <v>46031</v>
      </c>
      <c r="B93" s="3" t="s">
        <v>65</v>
      </c>
      <c r="C93" s="3">
        <v>90005</v>
      </c>
      <c r="D93" s="3">
        <v>6</v>
      </c>
      <c r="E93" s="3">
        <v>13</v>
      </c>
      <c r="F93" s="4">
        <v>33641.82</v>
      </c>
      <c r="G93" s="4">
        <f t="shared" si="2"/>
        <v>437343.66</v>
      </c>
      <c r="H93" s="5">
        <v>20.48</v>
      </c>
      <c r="I93" s="3" t="b">
        <f>FALSE()</f>
        <v>0</v>
      </c>
      <c r="J93" s="3" t="b">
        <f>FALSE()</f>
        <v>0</v>
      </c>
      <c r="K93" s="3">
        <v>5</v>
      </c>
    </row>
    <row r="94" spans="1:11" ht="15" customHeight="1" x14ac:dyDescent="0.3">
      <c r="A94" s="2">
        <v>46032</v>
      </c>
      <c r="B94" s="3" t="s">
        <v>84</v>
      </c>
      <c r="C94" s="3">
        <v>90005</v>
      </c>
      <c r="D94" s="3">
        <v>7</v>
      </c>
      <c r="E94" s="3">
        <v>14</v>
      </c>
      <c r="F94" s="4">
        <v>7822.78</v>
      </c>
      <c r="G94" s="4">
        <f t="shared" si="2"/>
        <v>109518.92</v>
      </c>
      <c r="H94" s="5">
        <v>20.7</v>
      </c>
      <c r="I94" s="3" t="b">
        <f>TRUE()</f>
        <v>1</v>
      </c>
      <c r="J94" s="3" t="b">
        <f>FALSE()</f>
        <v>0</v>
      </c>
      <c r="K94" s="3">
        <v>6</v>
      </c>
    </row>
    <row r="95" spans="1:11" ht="15" customHeight="1" x14ac:dyDescent="0.3">
      <c r="A95" s="2">
        <v>46030</v>
      </c>
      <c r="B95" s="3" t="s">
        <v>63</v>
      </c>
      <c r="C95" s="3">
        <v>90002</v>
      </c>
      <c r="D95" s="3">
        <v>8</v>
      </c>
      <c r="E95" s="3">
        <v>8</v>
      </c>
      <c r="F95" s="4">
        <v>47069.71</v>
      </c>
      <c r="G95" s="4">
        <f t="shared" si="2"/>
        <v>376557.68</v>
      </c>
      <c r="H95" s="5">
        <v>11.63</v>
      </c>
      <c r="I95" s="3" t="b">
        <f>TRUE()</f>
        <v>1</v>
      </c>
      <c r="J95" s="3" t="b">
        <f>FALSE()</f>
        <v>0</v>
      </c>
      <c r="K95" s="3">
        <v>4</v>
      </c>
    </row>
    <row r="96" spans="1:11" ht="15" customHeight="1" x14ac:dyDescent="0.3">
      <c r="A96" s="2">
        <v>46026</v>
      </c>
      <c r="B96" s="3" t="s">
        <v>84</v>
      </c>
      <c r="C96" s="3">
        <v>90003</v>
      </c>
      <c r="D96" s="3">
        <v>9</v>
      </c>
      <c r="E96" s="3">
        <v>8</v>
      </c>
      <c r="F96" s="4">
        <v>7822.78</v>
      </c>
      <c r="G96" s="4">
        <f t="shared" si="2"/>
        <v>62582.239999999998</v>
      </c>
      <c r="H96" s="5">
        <v>16.77</v>
      </c>
      <c r="I96" s="3" t="b">
        <f>TRUE()</f>
        <v>1</v>
      </c>
      <c r="J96" s="3" t="b">
        <f>TRUE()</f>
        <v>1</v>
      </c>
      <c r="K96" s="3">
        <v>7</v>
      </c>
    </row>
    <row r="97" spans="1:11" ht="15" customHeight="1" x14ac:dyDescent="0.3">
      <c r="A97" s="2">
        <v>46027</v>
      </c>
      <c r="B97" s="3" t="s">
        <v>64</v>
      </c>
      <c r="C97" s="3">
        <v>90001</v>
      </c>
      <c r="D97" s="3">
        <v>5</v>
      </c>
      <c r="E97" s="3">
        <v>4</v>
      </c>
      <c r="F97" s="4">
        <v>36793.99</v>
      </c>
      <c r="G97" s="4">
        <f t="shared" si="2"/>
        <v>147175.96</v>
      </c>
      <c r="H97" s="5">
        <v>11.8</v>
      </c>
      <c r="I97" s="3" t="b">
        <f>TRUE()</f>
        <v>1</v>
      </c>
      <c r="J97" s="3" t="b">
        <f>FALSE()</f>
        <v>0</v>
      </c>
      <c r="K97" s="3">
        <v>1</v>
      </c>
    </row>
    <row r="98" spans="1:11" ht="15" customHeight="1" x14ac:dyDescent="0.3">
      <c r="A98" s="2">
        <v>46028</v>
      </c>
      <c r="B98" s="3" t="s">
        <v>63</v>
      </c>
      <c r="C98" s="3">
        <v>90005</v>
      </c>
      <c r="D98" s="3">
        <v>2</v>
      </c>
      <c r="E98" s="3">
        <v>3</v>
      </c>
      <c r="F98" s="4">
        <v>47069.71</v>
      </c>
      <c r="G98" s="4">
        <f t="shared" ref="G98:G101" si="3">F98*E98</f>
        <v>141209.13</v>
      </c>
      <c r="H98" s="5">
        <v>10.11</v>
      </c>
      <c r="I98" s="3" t="b">
        <f>TRUE()</f>
        <v>1</v>
      </c>
      <c r="J98" s="3" t="b">
        <f>FALSE()</f>
        <v>0</v>
      </c>
      <c r="K98" s="3">
        <v>2</v>
      </c>
    </row>
    <row r="99" spans="1:11" ht="15" customHeight="1" x14ac:dyDescent="0.3">
      <c r="A99" s="2">
        <v>46029</v>
      </c>
      <c r="B99" s="3" t="s">
        <v>60</v>
      </c>
      <c r="C99" s="3">
        <v>90002</v>
      </c>
      <c r="D99" s="3">
        <v>4</v>
      </c>
      <c r="E99" s="3">
        <v>2</v>
      </c>
      <c r="F99" s="4">
        <v>20693.03</v>
      </c>
      <c r="G99" s="4">
        <f t="shared" si="3"/>
        <v>41386.06</v>
      </c>
      <c r="H99" s="5">
        <v>13.81</v>
      </c>
      <c r="I99" s="3" t="b">
        <f>FALSE()</f>
        <v>0</v>
      </c>
      <c r="J99" s="3" t="b">
        <f>FALSE()</f>
        <v>0</v>
      </c>
      <c r="K99" s="3">
        <v>3</v>
      </c>
    </row>
    <row r="100" spans="1:11" ht="15" customHeight="1" x14ac:dyDescent="0.3">
      <c r="A100" s="2">
        <v>46028</v>
      </c>
      <c r="B100" s="3" t="s">
        <v>65</v>
      </c>
      <c r="C100" s="3">
        <v>90004</v>
      </c>
      <c r="D100" s="3">
        <v>7</v>
      </c>
      <c r="E100" s="3">
        <v>1</v>
      </c>
      <c r="F100" s="4">
        <v>33641.82</v>
      </c>
      <c r="G100" s="4">
        <f t="shared" si="3"/>
        <v>33641.82</v>
      </c>
      <c r="H100" s="5">
        <v>10.9</v>
      </c>
      <c r="I100" s="3" t="b">
        <f>FALSE()</f>
        <v>0</v>
      </c>
      <c r="J100" s="3" t="b">
        <f>FALSE()</f>
        <v>0</v>
      </c>
      <c r="K100" s="3">
        <v>2</v>
      </c>
    </row>
    <row r="101" spans="1:11" ht="15" customHeight="1" x14ac:dyDescent="0.3">
      <c r="A101" s="2">
        <v>46029</v>
      </c>
      <c r="B101" s="3" t="s">
        <v>62</v>
      </c>
      <c r="C101" s="3">
        <v>90005</v>
      </c>
      <c r="D101" s="3">
        <v>1</v>
      </c>
      <c r="E101" s="3">
        <v>14</v>
      </c>
      <c r="F101" s="4">
        <v>4379.87</v>
      </c>
      <c r="G101" s="4">
        <f t="shared" si="3"/>
        <v>61318.18</v>
      </c>
      <c r="H101" s="5">
        <v>20.329999999999998</v>
      </c>
      <c r="I101" s="3" t="b">
        <f>TRUE()</f>
        <v>1</v>
      </c>
      <c r="J101" s="3" t="b">
        <f>FALSE()</f>
        <v>0</v>
      </c>
      <c r="K101" s="3">
        <v>3</v>
      </c>
    </row>
    <row r="102" spans="1:1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1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1" width="12" style="1" customWidth="1"/>
    <col min="2" max="2" width="35" style="1" customWidth="1"/>
    <col min="3" max="3" width="13" style="1" customWidth="1"/>
    <col min="4" max="5" width="11" style="1" customWidth="1"/>
    <col min="6" max="6" width="13" style="1" customWidth="1"/>
    <col min="7" max="7" width="16" style="1" customWidth="1"/>
    <col min="8" max="8" width="14" style="1" customWidth="1"/>
  </cols>
  <sheetData>
    <row r="1" spans="1:9" ht="19.5" customHeight="1" x14ac:dyDescent="0.3">
      <c r="A1" s="7" t="s">
        <v>1</v>
      </c>
      <c r="B1" s="7" t="s">
        <v>13</v>
      </c>
      <c r="C1" s="7" t="s">
        <v>2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5</v>
      </c>
      <c r="I1" s="8"/>
    </row>
    <row r="2" spans="1:9" ht="15" customHeight="1" x14ac:dyDescent="0.3">
      <c r="A2" s="3" t="s">
        <v>10</v>
      </c>
      <c r="B2" s="3" t="s">
        <v>18</v>
      </c>
      <c r="C2" s="3">
        <v>90001</v>
      </c>
      <c r="D2" s="3">
        <v>1</v>
      </c>
      <c r="E2" s="3">
        <v>12</v>
      </c>
      <c r="F2" s="3">
        <v>512</v>
      </c>
      <c r="G2" s="3" t="s">
        <v>19</v>
      </c>
      <c r="H2" s="4">
        <v>52022.57</v>
      </c>
      <c r="I2" s="8"/>
    </row>
    <row r="3" spans="1:9" ht="15" customHeight="1" x14ac:dyDescent="0.3">
      <c r="A3" s="3" t="s">
        <v>11</v>
      </c>
      <c r="B3" s="3" t="s">
        <v>86</v>
      </c>
      <c r="C3" s="3">
        <v>90002</v>
      </c>
      <c r="D3" s="3">
        <v>2</v>
      </c>
      <c r="E3" s="3">
        <v>8</v>
      </c>
      <c r="F3" s="3">
        <v>512</v>
      </c>
      <c r="G3" s="3" t="s">
        <v>87</v>
      </c>
      <c r="H3" s="4">
        <v>30987.47</v>
      </c>
      <c r="I3" s="8"/>
    </row>
    <row r="4" spans="1:9" ht="15" customHeight="1" x14ac:dyDescent="0.3">
      <c r="A4" s="3" t="s">
        <v>73</v>
      </c>
      <c r="B4" s="3" t="s">
        <v>88</v>
      </c>
      <c r="C4" s="3">
        <v>90003</v>
      </c>
      <c r="D4" s="3">
        <v>3</v>
      </c>
      <c r="E4" s="3">
        <v>6</v>
      </c>
      <c r="F4" s="3">
        <v>512</v>
      </c>
      <c r="G4" s="3" t="s">
        <v>89</v>
      </c>
      <c r="H4" s="4">
        <v>17192.64</v>
      </c>
      <c r="I4" s="8"/>
    </row>
    <row r="5" spans="1:9" ht="15" customHeight="1" x14ac:dyDescent="0.3">
      <c r="A5" s="3" t="s">
        <v>80</v>
      </c>
      <c r="B5" s="3" t="s">
        <v>90</v>
      </c>
      <c r="C5" s="3">
        <v>90004</v>
      </c>
      <c r="D5" s="3">
        <v>4</v>
      </c>
      <c r="E5" s="3">
        <v>12</v>
      </c>
      <c r="F5" s="3">
        <v>64</v>
      </c>
      <c r="G5" s="3" t="s">
        <v>87</v>
      </c>
      <c r="H5" s="4">
        <v>20478.740000000002</v>
      </c>
      <c r="I5" s="8"/>
    </row>
    <row r="6" spans="1:9" ht="15" customHeight="1" x14ac:dyDescent="0.3">
      <c r="A6" s="3" t="s">
        <v>35</v>
      </c>
      <c r="B6" s="3" t="s">
        <v>91</v>
      </c>
      <c r="C6" s="3">
        <v>90005</v>
      </c>
      <c r="D6" s="3">
        <v>5</v>
      </c>
      <c r="E6" s="3">
        <v>12</v>
      </c>
      <c r="F6" s="3">
        <v>128</v>
      </c>
      <c r="G6" s="3" t="s">
        <v>92</v>
      </c>
      <c r="H6" s="4">
        <v>50816.160000000003</v>
      </c>
      <c r="I6" s="8"/>
    </row>
    <row r="7" spans="1:9" ht="15" customHeight="1" x14ac:dyDescent="0.3">
      <c r="A7" s="3" t="s">
        <v>74</v>
      </c>
      <c r="B7" s="3" t="s">
        <v>93</v>
      </c>
      <c r="C7" s="3">
        <v>90001</v>
      </c>
      <c r="D7" s="3">
        <v>6</v>
      </c>
      <c r="E7" s="3">
        <v>4</v>
      </c>
      <c r="F7" s="3">
        <v>512</v>
      </c>
      <c r="G7" s="3" t="s">
        <v>19</v>
      </c>
      <c r="H7" s="4">
        <v>7365.27</v>
      </c>
      <c r="I7" s="8"/>
    </row>
    <row r="8" spans="1:9" ht="15" customHeight="1" x14ac:dyDescent="0.3">
      <c r="A8" s="3" t="s">
        <v>83</v>
      </c>
      <c r="B8" s="3" t="s">
        <v>94</v>
      </c>
      <c r="C8" s="3">
        <v>90002</v>
      </c>
      <c r="D8" s="3">
        <v>7</v>
      </c>
      <c r="E8" s="3">
        <v>12</v>
      </c>
      <c r="F8" s="3">
        <v>128</v>
      </c>
      <c r="G8" s="3" t="s">
        <v>92</v>
      </c>
      <c r="H8" s="4">
        <v>12449.91</v>
      </c>
      <c r="I8" s="8"/>
    </row>
    <row r="9" spans="1:9" ht="15" customHeight="1" x14ac:dyDescent="0.3">
      <c r="A9" s="3" t="s">
        <v>77</v>
      </c>
      <c r="B9" s="3" t="s">
        <v>95</v>
      </c>
      <c r="C9" s="3">
        <v>90003</v>
      </c>
      <c r="D9" s="3">
        <v>8</v>
      </c>
      <c r="E9" s="3">
        <v>8</v>
      </c>
      <c r="F9" s="3">
        <v>512</v>
      </c>
      <c r="G9" s="3" t="s">
        <v>96</v>
      </c>
      <c r="H9" s="4">
        <v>14006.33</v>
      </c>
      <c r="I9" s="8"/>
    </row>
    <row r="10" spans="1:9" ht="15" customHeight="1" x14ac:dyDescent="0.3">
      <c r="A10" s="3" t="s">
        <v>81</v>
      </c>
      <c r="B10" s="3" t="s">
        <v>97</v>
      </c>
      <c r="C10" s="3">
        <v>90004</v>
      </c>
      <c r="D10" s="3">
        <v>9</v>
      </c>
      <c r="E10" s="3">
        <v>8</v>
      </c>
      <c r="F10" s="3">
        <v>256</v>
      </c>
      <c r="G10" s="3" t="s">
        <v>87</v>
      </c>
      <c r="H10" s="4">
        <v>17469.34</v>
      </c>
      <c r="I10" s="8"/>
    </row>
    <row r="11" spans="1:9" ht="15" customHeight="1" x14ac:dyDescent="0.3">
      <c r="A11" s="3" t="s">
        <v>98</v>
      </c>
      <c r="B11" s="3" t="s">
        <v>99</v>
      </c>
      <c r="C11" s="3">
        <v>90005</v>
      </c>
      <c r="D11" s="3">
        <v>10</v>
      </c>
      <c r="E11" s="3">
        <v>12</v>
      </c>
      <c r="F11" s="3">
        <v>256</v>
      </c>
      <c r="G11" s="3" t="s">
        <v>100</v>
      </c>
      <c r="H11" s="4">
        <v>27455.96</v>
      </c>
      <c r="I11" s="8"/>
    </row>
    <row r="12" spans="1:9" ht="15" customHeight="1" x14ac:dyDescent="0.3">
      <c r="A12" s="3" t="s">
        <v>70</v>
      </c>
      <c r="B12" s="3" t="s">
        <v>101</v>
      </c>
      <c r="C12" s="3">
        <v>90001</v>
      </c>
      <c r="D12" s="3">
        <v>1</v>
      </c>
      <c r="E12" s="3">
        <v>4</v>
      </c>
      <c r="F12" s="3">
        <v>256</v>
      </c>
      <c r="G12" s="3" t="s">
        <v>89</v>
      </c>
      <c r="H12" s="4">
        <v>36807.49</v>
      </c>
      <c r="I12" s="8"/>
    </row>
    <row r="13" spans="1:9" ht="15" customHeight="1" x14ac:dyDescent="0.3">
      <c r="A13" s="3" t="s">
        <v>66</v>
      </c>
      <c r="B13" s="3" t="s">
        <v>102</v>
      </c>
      <c r="C13" s="3">
        <v>90002</v>
      </c>
      <c r="D13" s="3">
        <v>2</v>
      </c>
      <c r="E13" s="3">
        <v>4</v>
      </c>
      <c r="F13" s="3">
        <v>64</v>
      </c>
      <c r="G13" s="3" t="s">
        <v>89</v>
      </c>
      <c r="H13" s="4">
        <v>13366.76</v>
      </c>
      <c r="I13" s="8"/>
    </row>
    <row r="14" spans="1:9" ht="15" customHeight="1" x14ac:dyDescent="0.3">
      <c r="A14" s="3" t="s">
        <v>62</v>
      </c>
      <c r="B14" s="3" t="s">
        <v>103</v>
      </c>
      <c r="C14" s="3">
        <v>90003</v>
      </c>
      <c r="D14" s="3">
        <v>3</v>
      </c>
      <c r="E14" s="3">
        <v>4</v>
      </c>
      <c r="F14" s="3">
        <v>128</v>
      </c>
      <c r="G14" s="3" t="s">
        <v>89</v>
      </c>
      <c r="H14" s="4">
        <v>9563.49</v>
      </c>
      <c r="I14" s="8"/>
    </row>
    <row r="15" spans="1:9" ht="15" customHeight="1" x14ac:dyDescent="0.3">
      <c r="A15" s="3" t="s">
        <v>67</v>
      </c>
      <c r="B15" s="3" t="s">
        <v>104</v>
      </c>
      <c r="C15" s="3">
        <v>90004</v>
      </c>
      <c r="D15" s="3">
        <v>4</v>
      </c>
      <c r="E15" s="3">
        <v>4</v>
      </c>
      <c r="F15" s="3">
        <v>128</v>
      </c>
      <c r="G15" s="3" t="s">
        <v>92</v>
      </c>
      <c r="H15" s="4">
        <v>39372.18</v>
      </c>
      <c r="I15" s="8"/>
    </row>
    <row r="16" spans="1:9" ht="15" customHeight="1" x14ac:dyDescent="0.3">
      <c r="A16" s="3" t="s">
        <v>64</v>
      </c>
      <c r="B16" s="3" t="s">
        <v>105</v>
      </c>
      <c r="C16" s="3">
        <v>90005</v>
      </c>
      <c r="D16" s="3">
        <v>5</v>
      </c>
      <c r="E16" s="3">
        <v>8</v>
      </c>
      <c r="F16" s="3">
        <v>128</v>
      </c>
      <c r="G16" s="3" t="s">
        <v>100</v>
      </c>
      <c r="H16" s="4">
        <v>43445.18</v>
      </c>
      <c r="I16" s="8"/>
    </row>
    <row r="17" spans="1:9" ht="15" customHeight="1" x14ac:dyDescent="0.3">
      <c r="A17" s="3" t="s">
        <v>78</v>
      </c>
      <c r="B17" s="3" t="s">
        <v>106</v>
      </c>
      <c r="C17" s="3">
        <v>90001</v>
      </c>
      <c r="D17" s="3">
        <v>6</v>
      </c>
      <c r="E17" s="3">
        <v>6</v>
      </c>
      <c r="F17" s="3">
        <v>256</v>
      </c>
      <c r="G17" s="3" t="s">
        <v>100</v>
      </c>
      <c r="H17" s="4">
        <v>33091.61</v>
      </c>
      <c r="I17" s="8"/>
    </row>
    <row r="18" spans="1:9" ht="15" customHeight="1" x14ac:dyDescent="0.3">
      <c r="A18" s="3" t="s">
        <v>68</v>
      </c>
      <c r="B18" s="3" t="s">
        <v>107</v>
      </c>
      <c r="C18" s="3">
        <v>90002</v>
      </c>
      <c r="D18" s="3">
        <v>7</v>
      </c>
      <c r="E18" s="3">
        <v>8</v>
      </c>
      <c r="F18" s="3">
        <v>512</v>
      </c>
      <c r="G18" s="3" t="s">
        <v>87</v>
      </c>
      <c r="H18" s="4">
        <v>51956.47</v>
      </c>
      <c r="I18" s="8"/>
    </row>
    <row r="19" spans="1:9" ht="15" customHeight="1" x14ac:dyDescent="0.3">
      <c r="A19" s="3" t="s">
        <v>65</v>
      </c>
      <c r="B19" s="3" t="s">
        <v>108</v>
      </c>
      <c r="C19" s="3">
        <v>90003</v>
      </c>
      <c r="D19" s="3">
        <v>8</v>
      </c>
      <c r="E19" s="3">
        <v>6</v>
      </c>
      <c r="F19" s="3">
        <v>64</v>
      </c>
      <c r="G19" s="3" t="s">
        <v>89</v>
      </c>
      <c r="H19" s="4">
        <v>8298.8700000000008</v>
      </c>
      <c r="I19" s="8"/>
    </row>
    <row r="20" spans="1:9" ht="15" customHeight="1" x14ac:dyDescent="0.3">
      <c r="A20" s="3" t="s">
        <v>85</v>
      </c>
      <c r="B20" s="3" t="s">
        <v>109</v>
      </c>
      <c r="C20" s="3">
        <v>90004</v>
      </c>
      <c r="D20" s="3">
        <v>9</v>
      </c>
      <c r="E20" s="3">
        <v>8</v>
      </c>
      <c r="F20" s="3">
        <v>64</v>
      </c>
      <c r="G20" s="3" t="s">
        <v>19</v>
      </c>
      <c r="H20" s="4">
        <v>21054.6</v>
      </c>
      <c r="I20" s="8"/>
    </row>
    <row r="21" spans="1:9" ht="15" customHeight="1" x14ac:dyDescent="0.3">
      <c r="A21" s="3" t="s">
        <v>72</v>
      </c>
      <c r="B21" s="3" t="s">
        <v>110</v>
      </c>
      <c r="C21" s="3">
        <v>90005</v>
      </c>
      <c r="D21" s="3">
        <v>10</v>
      </c>
      <c r="E21" s="3">
        <v>12</v>
      </c>
      <c r="F21" s="3">
        <v>256</v>
      </c>
      <c r="G21" s="3" t="s">
        <v>100</v>
      </c>
      <c r="H21" s="4">
        <v>29309.96</v>
      </c>
      <c r="I21" s="8"/>
    </row>
    <row r="22" spans="1:9" ht="15" customHeight="1" x14ac:dyDescent="0.3">
      <c r="A22" s="3" t="s">
        <v>76</v>
      </c>
      <c r="B22" s="3" t="s">
        <v>111</v>
      </c>
      <c r="C22" s="3">
        <v>90001</v>
      </c>
      <c r="D22" s="3">
        <v>1</v>
      </c>
      <c r="E22" s="3">
        <v>8</v>
      </c>
      <c r="F22" s="3">
        <v>64</v>
      </c>
      <c r="G22" s="3" t="s">
        <v>87</v>
      </c>
      <c r="H22" s="4">
        <v>45761.21</v>
      </c>
      <c r="I22" s="8"/>
    </row>
    <row r="23" spans="1:9" ht="15" customHeight="1" x14ac:dyDescent="0.3">
      <c r="A23" s="3" t="s">
        <v>79</v>
      </c>
      <c r="B23" s="3" t="s">
        <v>112</v>
      </c>
      <c r="C23" s="3">
        <v>90002</v>
      </c>
      <c r="D23" s="3">
        <v>2</v>
      </c>
      <c r="E23" s="3">
        <v>4</v>
      </c>
      <c r="F23" s="3">
        <v>512</v>
      </c>
      <c r="G23" s="3" t="s">
        <v>96</v>
      </c>
      <c r="H23" s="4">
        <v>36050.43</v>
      </c>
      <c r="I23" s="8"/>
    </row>
    <row r="24" spans="1:9" ht="15" customHeight="1" x14ac:dyDescent="0.3">
      <c r="A24" s="3" t="s">
        <v>60</v>
      </c>
      <c r="B24" s="3" t="s">
        <v>113</v>
      </c>
      <c r="C24" s="3">
        <v>90003</v>
      </c>
      <c r="D24" s="3">
        <v>3</v>
      </c>
      <c r="E24" s="3">
        <v>12</v>
      </c>
      <c r="F24" s="3">
        <v>128</v>
      </c>
      <c r="G24" s="3" t="s">
        <v>87</v>
      </c>
      <c r="H24" s="4">
        <v>12159.12</v>
      </c>
      <c r="I24" s="8"/>
    </row>
    <row r="25" spans="1:9" ht="15" customHeight="1" x14ac:dyDescent="0.3">
      <c r="A25" s="3" t="s">
        <v>69</v>
      </c>
      <c r="B25" s="3" t="s">
        <v>114</v>
      </c>
      <c r="C25" s="3">
        <v>90004</v>
      </c>
      <c r="D25" s="3">
        <v>4</v>
      </c>
      <c r="E25" s="3">
        <v>8</v>
      </c>
      <c r="F25" s="3">
        <v>512</v>
      </c>
      <c r="G25" s="3" t="s">
        <v>92</v>
      </c>
      <c r="H25" s="4">
        <v>25649.87</v>
      </c>
      <c r="I25" s="8"/>
    </row>
    <row r="26" spans="1:9" ht="15" customHeight="1" x14ac:dyDescent="0.3">
      <c r="A26" s="3" t="s">
        <v>61</v>
      </c>
      <c r="B26" s="3" t="s">
        <v>115</v>
      </c>
      <c r="C26" s="3">
        <v>90005</v>
      </c>
      <c r="D26" s="3">
        <v>5</v>
      </c>
      <c r="E26" s="3">
        <v>8</v>
      </c>
      <c r="F26" s="3">
        <v>256</v>
      </c>
      <c r="G26" s="3" t="s">
        <v>89</v>
      </c>
      <c r="H26" s="4">
        <v>46198.01</v>
      </c>
      <c r="I26" s="8"/>
    </row>
    <row r="27" spans="1:9" ht="15" customHeight="1" x14ac:dyDescent="0.3">
      <c r="A27" s="3" t="s">
        <v>82</v>
      </c>
      <c r="B27" s="3" t="s">
        <v>116</v>
      </c>
      <c r="C27" s="3">
        <v>90001</v>
      </c>
      <c r="D27" s="3">
        <v>6</v>
      </c>
      <c r="E27" s="3">
        <v>4</v>
      </c>
      <c r="F27" s="3">
        <v>256</v>
      </c>
      <c r="G27" s="3" t="s">
        <v>92</v>
      </c>
      <c r="H27" s="4">
        <v>15680.9</v>
      </c>
      <c r="I27" s="8"/>
    </row>
    <row r="28" spans="1:9" ht="15" customHeight="1" x14ac:dyDescent="0.3">
      <c r="A28" s="3" t="s">
        <v>84</v>
      </c>
      <c r="B28" s="3" t="s">
        <v>117</v>
      </c>
      <c r="C28" s="3">
        <v>90002</v>
      </c>
      <c r="D28" s="3">
        <v>7</v>
      </c>
      <c r="E28" s="3">
        <v>12</v>
      </c>
      <c r="F28" s="3">
        <v>512</v>
      </c>
      <c r="G28" s="3" t="s">
        <v>96</v>
      </c>
      <c r="H28" s="4">
        <v>4492.3999999999996</v>
      </c>
      <c r="I28" s="8"/>
    </row>
    <row r="29" spans="1:9" ht="15" customHeight="1" x14ac:dyDescent="0.3">
      <c r="A29" s="3" t="s">
        <v>71</v>
      </c>
      <c r="B29" s="3" t="s">
        <v>118</v>
      </c>
      <c r="C29" s="3">
        <v>90003</v>
      </c>
      <c r="D29" s="3">
        <v>8</v>
      </c>
      <c r="E29" s="3">
        <v>8</v>
      </c>
      <c r="F29" s="3">
        <v>128</v>
      </c>
      <c r="G29" s="3" t="s">
        <v>92</v>
      </c>
      <c r="H29" s="4">
        <v>14030.23</v>
      </c>
      <c r="I29" s="8"/>
    </row>
    <row r="30" spans="1:9" ht="15" customHeight="1" x14ac:dyDescent="0.3">
      <c r="A30" s="3" t="s">
        <v>63</v>
      </c>
      <c r="B30" s="3" t="s">
        <v>119</v>
      </c>
      <c r="C30" s="3">
        <v>90004</v>
      </c>
      <c r="D30" s="3">
        <v>9</v>
      </c>
      <c r="E30" s="3">
        <v>8</v>
      </c>
      <c r="F30" s="3">
        <v>256</v>
      </c>
      <c r="G30" s="3" t="s">
        <v>120</v>
      </c>
      <c r="H30" s="4">
        <v>48776.639999999999</v>
      </c>
      <c r="I30" s="8"/>
    </row>
    <row r="31" spans="1:9" ht="15" customHeight="1" x14ac:dyDescent="0.3">
      <c r="A31" s="3" t="s">
        <v>75</v>
      </c>
      <c r="B31" s="3" t="s">
        <v>121</v>
      </c>
      <c r="C31" s="3">
        <v>90005</v>
      </c>
      <c r="D31" s="3">
        <v>10</v>
      </c>
      <c r="E31" s="3">
        <v>8</v>
      </c>
      <c r="F31" s="3">
        <v>64</v>
      </c>
      <c r="G31" s="3" t="s">
        <v>89</v>
      </c>
      <c r="H31" s="4">
        <v>7451.87</v>
      </c>
      <c r="I31" s="8"/>
    </row>
    <row r="32" spans="1:9" ht="15" customHeight="1" x14ac:dyDescent="0.3">
      <c r="A32" s="3" t="s">
        <v>122</v>
      </c>
      <c r="B32" s="3" t="s">
        <v>123</v>
      </c>
      <c r="C32" s="3">
        <v>90001</v>
      </c>
      <c r="D32" s="3">
        <v>1</v>
      </c>
      <c r="E32" s="3">
        <v>12</v>
      </c>
      <c r="F32" s="3">
        <v>512</v>
      </c>
      <c r="G32" s="3" t="s">
        <v>89</v>
      </c>
      <c r="H32" s="4">
        <v>38911.69</v>
      </c>
      <c r="I32" s="8"/>
    </row>
    <row r="33" spans="1:9" ht="15" customHeight="1" x14ac:dyDescent="0.3">
      <c r="A33" s="3" t="s">
        <v>124</v>
      </c>
      <c r="B33" s="3" t="s">
        <v>24</v>
      </c>
      <c r="C33" s="3">
        <v>90002</v>
      </c>
      <c r="D33" s="3">
        <v>2</v>
      </c>
      <c r="E33" s="3">
        <v>12</v>
      </c>
      <c r="F33" s="3">
        <v>512</v>
      </c>
      <c r="G33" s="3" t="s">
        <v>19</v>
      </c>
      <c r="H33" s="4">
        <v>7838.77</v>
      </c>
      <c r="I33" s="8"/>
    </row>
    <row r="34" spans="1:9" ht="15" customHeight="1" x14ac:dyDescent="0.3">
      <c r="A34" s="3" t="s">
        <v>125</v>
      </c>
      <c r="B34" s="3" t="s">
        <v>126</v>
      </c>
      <c r="C34" s="3">
        <v>90003</v>
      </c>
      <c r="D34" s="3">
        <v>3</v>
      </c>
      <c r="E34" s="3">
        <v>6</v>
      </c>
      <c r="F34" s="3">
        <v>512</v>
      </c>
      <c r="G34" s="3" t="s">
        <v>89</v>
      </c>
      <c r="H34" s="4">
        <v>18922.71</v>
      </c>
      <c r="I34" s="8"/>
    </row>
    <row r="35" spans="1:9" ht="15" customHeight="1" x14ac:dyDescent="0.3">
      <c r="A35" s="3" t="s">
        <v>127</v>
      </c>
      <c r="B35" s="3" t="s">
        <v>128</v>
      </c>
      <c r="C35" s="3">
        <v>90004</v>
      </c>
      <c r="D35" s="3">
        <v>4</v>
      </c>
      <c r="E35" s="3">
        <v>8</v>
      </c>
      <c r="F35" s="3">
        <v>512</v>
      </c>
      <c r="G35" s="3" t="s">
        <v>96</v>
      </c>
      <c r="H35" s="4">
        <v>25126.2</v>
      </c>
      <c r="I35" s="8"/>
    </row>
    <row r="36" spans="1:9" ht="15" customHeight="1" x14ac:dyDescent="0.3">
      <c r="A36" s="3" t="s">
        <v>129</v>
      </c>
      <c r="B36" s="3" t="s">
        <v>130</v>
      </c>
      <c r="C36" s="3">
        <v>90005</v>
      </c>
      <c r="D36" s="3">
        <v>5</v>
      </c>
      <c r="E36" s="3">
        <v>8</v>
      </c>
      <c r="F36" s="3">
        <v>256</v>
      </c>
      <c r="G36" s="3" t="s">
        <v>92</v>
      </c>
      <c r="H36" s="4">
        <v>17087.650000000001</v>
      </c>
      <c r="I36" s="8"/>
    </row>
    <row r="37" spans="1:9" ht="15" customHeight="1" x14ac:dyDescent="0.3">
      <c r="A37" s="3" t="s">
        <v>131</v>
      </c>
      <c r="B37" s="3" t="s">
        <v>132</v>
      </c>
      <c r="C37" s="3">
        <v>90001</v>
      </c>
      <c r="D37" s="3">
        <v>6</v>
      </c>
      <c r="E37" s="3">
        <v>8</v>
      </c>
      <c r="F37" s="3">
        <v>128</v>
      </c>
      <c r="G37" s="3" t="s">
        <v>100</v>
      </c>
      <c r="H37" s="4">
        <v>40506.79</v>
      </c>
      <c r="I37" s="8"/>
    </row>
    <row r="38" spans="1:9" ht="15" customHeight="1" x14ac:dyDescent="0.3">
      <c r="A38" s="3" t="s">
        <v>133</v>
      </c>
      <c r="B38" s="3" t="s">
        <v>134</v>
      </c>
      <c r="C38" s="3">
        <v>90002</v>
      </c>
      <c r="D38" s="3">
        <v>7</v>
      </c>
      <c r="E38" s="3">
        <v>8</v>
      </c>
      <c r="F38" s="3">
        <v>64</v>
      </c>
      <c r="G38" s="3" t="s">
        <v>135</v>
      </c>
      <c r="H38" s="4">
        <v>12960.13</v>
      </c>
      <c r="I38" s="8"/>
    </row>
    <row r="39" spans="1:9" ht="15" customHeight="1" x14ac:dyDescent="0.3">
      <c r="A39" s="3" t="s">
        <v>136</v>
      </c>
      <c r="B39" s="3" t="s">
        <v>137</v>
      </c>
      <c r="C39" s="3">
        <v>90003</v>
      </c>
      <c r="D39" s="3">
        <v>8</v>
      </c>
      <c r="E39" s="3">
        <v>12</v>
      </c>
      <c r="F39" s="3">
        <v>256</v>
      </c>
      <c r="G39" s="3" t="s">
        <v>120</v>
      </c>
      <c r="H39" s="4">
        <v>53986.55</v>
      </c>
      <c r="I39" s="8"/>
    </row>
    <row r="40" spans="1:9" ht="15" customHeight="1" x14ac:dyDescent="0.3">
      <c r="A40" s="3" t="s">
        <v>138</v>
      </c>
      <c r="B40" s="3" t="s">
        <v>139</v>
      </c>
      <c r="C40" s="3">
        <v>90004</v>
      </c>
      <c r="D40" s="3">
        <v>9</v>
      </c>
      <c r="E40" s="3">
        <v>6</v>
      </c>
      <c r="F40" s="3">
        <v>256</v>
      </c>
      <c r="G40" s="3" t="s">
        <v>89</v>
      </c>
      <c r="H40" s="4">
        <v>21765.82</v>
      </c>
      <c r="I40" s="8"/>
    </row>
    <row r="41" spans="1:9" ht="15" customHeight="1" x14ac:dyDescent="0.3">
      <c r="A41" s="3" t="s">
        <v>140</v>
      </c>
      <c r="B41" s="3" t="s">
        <v>141</v>
      </c>
      <c r="C41" s="3">
        <v>90005</v>
      </c>
      <c r="D41" s="3">
        <v>10</v>
      </c>
      <c r="E41" s="3">
        <v>8</v>
      </c>
      <c r="F41" s="3">
        <v>64</v>
      </c>
      <c r="G41" s="3" t="s">
        <v>135</v>
      </c>
      <c r="H41" s="4">
        <v>17264.189999999999</v>
      </c>
      <c r="I41" s="8"/>
    </row>
    <row r="42" spans="1:9" ht="15" customHeight="1" x14ac:dyDescent="0.3">
      <c r="A42" s="3" t="s">
        <v>142</v>
      </c>
      <c r="B42" s="3" t="s">
        <v>143</v>
      </c>
      <c r="C42" s="3">
        <v>90001</v>
      </c>
      <c r="D42" s="3">
        <v>1</v>
      </c>
      <c r="E42" s="3">
        <v>4</v>
      </c>
      <c r="F42" s="3">
        <v>256</v>
      </c>
      <c r="G42" s="3" t="s">
        <v>135</v>
      </c>
      <c r="H42" s="4">
        <v>36169.22</v>
      </c>
      <c r="I42" s="8"/>
    </row>
    <row r="43" spans="1:9" ht="15" customHeight="1" x14ac:dyDescent="0.3">
      <c r="A43" s="3" t="s">
        <v>144</v>
      </c>
      <c r="B43" s="3" t="s">
        <v>145</v>
      </c>
      <c r="C43" s="3">
        <v>90002</v>
      </c>
      <c r="D43" s="3">
        <v>2</v>
      </c>
      <c r="E43" s="3">
        <v>12</v>
      </c>
      <c r="F43" s="3">
        <v>64</v>
      </c>
      <c r="G43" s="3" t="s">
        <v>19</v>
      </c>
      <c r="H43" s="4">
        <v>32851.339999999997</v>
      </c>
      <c r="I43" s="8"/>
    </row>
    <row r="44" spans="1:9" ht="15" customHeight="1" x14ac:dyDescent="0.3">
      <c r="A44" s="3" t="s">
        <v>146</v>
      </c>
      <c r="B44" s="3" t="s">
        <v>147</v>
      </c>
      <c r="C44" s="3">
        <v>90003</v>
      </c>
      <c r="D44" s="3">
        <v>3</v>
      </c>
      <c r="E44" s="3">
        <v>12</v>
      </c>
      <c r="F44" s="3">
        <v>512</v>
      </c>
      <c r="G44" s="3" t="s">
        <v>92</v>
      </c>
      <c r="H44" s="4">
        <v>20716.71</v>
      </c>
      <c r="I44" s="8"/>
    </row>
    <row r="45" spans="1:9" ht="15" customHeight="1" x14ac:dyDescent="0.3">
      <c r="A45" s="3" t="s">
        <v>148</v>
      </c>
      <c r="B45" s="3" t="s">
        <v>149</v>
      </c>
      <c r="C45" s="3">
        <v>90004</v>
      </c>
      <c r="D45" s="3">
        <v>4</v>
      </c>
      <c r="E45" s="3">
        <v>4</v>
      </c>
      <c r="F45" s="3">
        <v>256</v>
      </c>
      <c r="G45" s="3" t="s">
        <v>92</v>
      </c>
      <c r="H45" s="4">
        <v>8932.5300000000007</v>
      </c>
      <c r="I45" s="8"/>
    </row>
    <row r="46" spans="1:9" ht="15" customHeight="1" x14ac:dyDescent="0.3">
      <c r="A46" s="3" t="s">
        <v>150</v>
      </c>
      <c r="B46" s="3" t="s">
        <v>151</v>
      </c>
      <c r="C46" s="3">
        <v>90005</v>
      </c>
      <c r="D46" s="3">
        <v>5</v>
      </c>
      <c r="E46" s="3">
        <v>4</v>
      </c>
      <c r="F46" s="3">
        <v>512</v>
      </c>
      <c r="G46" s="3" t="s">
        <v>92</v>
      </c>
      <c r="H46" s="4">
        <v>6852.27</v>
      </c>
      <c r="I46" s="8"/>
    </row>
    <row r="47" spans="1:9" ht="15" customHeight="1" x14ac:dyDescent="0.3">
      <c r="A47" s="3" t="s">
        <v>152</v>
      </c>
      <c r="B47" s="3" t="s">
        <v>153</v>
      </c>
      <c r="C47" s="3">
        <v>90001</v>
      </c>
      <c r="D47" s="3">
        <v>6</v>
      </c>
      <c r="E47" s="3">
        <v>4</v>
      </c>
      <c r="F47" s="3">
        <v>128</v>
      </c>
      <c r="G47" s="3" t="s">
        <v>135</v>
      </c>
      <c r="H47" s="4">
        <v>45179.39</v>
      </c>
      <c r="I47" s="8"/>
    </row>
    <row r="48" spans="1:9" ht="15" customHeight="1" x14ac:dyDescent="0.3">
      <c r="A48" s="3" t="s">
        <v>154</v>
      </c>
      <c r="B48" s="3" t="s">
        <v>155</v>
      </c>
      <c r="C48" s="3">
        <v>90002</v>
      </c>
      <c r="D48" s="3">
        <v>7</v>
      </c>
      <c r="E48" s="3">
        <v>8</v>
      </c>
      <c r="F48" s="3">
        <v>64</v>
      </c>
      <c r="G48" s="3" t="s">
        <v>89</v>
      </c>
      <c r="H48" s="4">
        <v>9159.48</v>
      </c>
      <c r="I48" s="8"/>
    </row>
    <row r="49" spans="1:9" ht="15" customHeight="1" x14ac:dyDescent="0.3">
      <c r="A49" s="3" t="s">
        <v>156</v>
      </c>
      <c r="B49" s="3" t="s">
        <v>157</v>
      </c>
      <c r="C49" s="3">
        <v>90003</v>
      </c>
      <c r="D49" s="3">
        <v>8</v>
      </c>
      <c r="E49" s="3">
        <v>12</v>
      </c>
      <c r="F49" s="3">
        <v>128</v>
      </c>
      <c r="G49" s="3" t="s">
        <v>87</v>
      </c>
      <c r="H49" s="4">
        <v>26426.75</v>
      </c>
      <c r="I49" s="8"/>
    </row>
    <row r="50" spans="1:9" ht="15" customHeight="1" x14ac:dyDescent="0.3">
      <c r="A50" s="3" t="s">
        <v>158</v>
      </c>
      <c r="B50" s="3" t="s">
        <v>159</v>
      </c>
      <c r="C50" s="3">
        <v>90004</v>
      </c>
      <c r="D50" s="3">
        <v>9</v>
      </c>
      <c r="E50" s="3">
        <v>12</v>
      </c>
      <c r="F50" s="3">
        <v>256</v>
      </c>
      <c r="G50" s="3" t="s">
        <v>87</v>
      </c>
      <c r="H50" s="4">
        <v>18879.77</v>
      </c>
      <c r="I50" s="8"/>
    </row>
    <row r="51" spans="1:9" ht="15" customHeight="1" x14ac:dyDescent="0.3">
      <c r="A51" s="3" t="s">
        <v>160</v>
      </c>
      <c r="B51" s="3" t="s">
        <v>161</v>
      </c>
      <c r="C51" s="3">
        <v>90005</v>
      </c>
      <c r="D51" s="3">
        <v>10</v>
      </c>
      <c r="E51" s="3">
        <v>4</v>
      </c>
      <c r="F51" s="3">
        <v>64</v>
      </c>
      <c r="G51" s="3" t="s">
        <v>89</v>
      </c>
      <c r="H51" s="4">
        <v>35526.78</v>
      </c>
      <c r="I51" s="8"/>
    </row>
    <row r="52" spans="1:9" ht="15" customHeight="1" x14ac:dyDescent="0.3">
      <c r="A52" s="3" t="s">
        <v>162</v>
      </c>
      <c r="B52" s="3" t="s">
        <v>163</v>
      </c>
      <c r="C52" s="3">
        <v>90001</v>
      </c>
      <c r="D52" s="3">
        <v>1</v>
      </c>
      <c r="E52" s="3">
        <v>8</v>
      </c>
      <c r="F52" s="3">
        <v>64</v>
      </c>
      <c r="G52" s="3" t="s">
        <v>135</v>
      </c>
      <c r="H52" s="4">
        <v>15472.99</v>
      </c>
      <c r="I52" s="8"/>
    </row>
    <row r="53" spans="1:9" ht="15" customHeight="1" x14ac:dyDescent="0.3">
      <c r="A53" s="3" t="s">
        <v>164</v>
      </c>
      <c r="B53" s="3" t="s">
        <v>165</v>
      </c>
      <c r="C53" s="3">
        <v>90002</v>
      </c>
      <c r="D53" s="3">
        <v>2</v>
      </c>
      <c r="E53" s="3">
        <v>4</v>
      </c>
      <c r="F53" s="3">
        <v>128</v>
      </c>
      <c r="G53" s="3" t="s">
        <v>19</v>
      </c>
      <c r="H53" s="4">
        <v>24242.91</v>
      </c>
      <c r="I53" s="8"/>
    </row>
    <row r="54" spans="1:9" ht="15" customHeight="1" x14ac:dyDescent="0.3">
      <c r="A54" s="3" t="s">
        <v>166</v>
      </c>
      <c r="B54" s="3" t="s">
        <v>167</v>
      </c>
      <c r="C54" s="3">
        <v>90003</v>
      </c>
      <c r="D54" s="3">
        <v>3</v>
      </c>
      <c r="E54" s="3">
        <v>12</v>
      </c>
      <c r="F54" s="3">
        <v>256</v>
      </c>
      <c r="G54" s="3" t="s">
        <v>19</v>
      </c>
      <c r="H54" s="4">
        <v>15036.76</v>
      </c>
      <c r="I54" s="8"/>
    </row>
    <row r="55" spans="1:9" ht="15" customHeight="1" x14ac:dyDescent="0.3">
      <c r="A55" s="3" t="s">
        <v>168</v>
      </c>
      <c r="B55" s="3" t="s">
        <v>169</v>
      </c>
      <c r="C55" s="3">
        <v>90004</v>
      </c>
      <c r="D55" s="3">
        <v>4</v>
      </c>
      <c r="E55" s="3">
        <v>8</v>
      </c>
      <c r="F55" s="3">
        <v>512</v>
      </c>
      <c r="G55" s="3" t="s">
        <v>100</v>
      </c>
      <c r="H55" s="4">
        <v>38744.019999999997</v>
      </c>
      <c r="I55" s="8"/>
    </row>
    <row r="56" spans="1:9" ht="15" customHeight="1" x14ac:dyDescent="0.3">
      <c r="A56" s="3" t="s">
        <v>170</v>
      </c>
      <c r="B56" s="3" t="s">
        <v>171</v>
      </c>
      <c r="C56" s="3">
        <v>90005</v>
      </c>
      <c r="D56" s="3">
        <v>5</v>
      </c>
      <c r="E56" s="3">
        <v>8</v>
      </c>
      <c r="F56" s="3">
        <v>128</v>
      </c>
      <c r="G56" s="3" t="s">
        <v>87</v>
      </c>
      <c r="H56" s="4">
        <v>8968.3700000000008</v>
      </c>
      <c r="I56" s="8"/>
    </row>
    <row r="57" spans="1:9" ht="15" customHeight="1" x14ac:dyDescent="0.3">
      <c r="A57" s="3" t="s">
        <v>172</v>
      </c>
      <c r="B57" s="3" t="s">
        <v>173</v>
      </c>
      <c r="C57" s="3">
        <v>90001</v>
      </c>
      <c r="D57" s="3">
        <v>6</v>
      </c>
      <c r="E57" s="3">
        <v>6</v>
      </c>
      <c r="F57" s="3">
        <v>128</v>
      </c>
      <c r="G57" s="3" t="s">
        <v>120</v>
      </c>
      <c r="H57" s="4">
        <v>45984.82</v>
      </c>
      <c r="I57" s="8"/>
    </row>
    <row r="58" spans="1:9" ht="15" customHeight="1" x14ac:dyDescent="0.3">
      <c r="A58" s="3" t="s">
        <v>174</v>
      </c>
      <c r="B58" s="3" t="s">
        <v>175</v>
      </c>
      <c r="C58" s="3">
        <v>90002</v>
      </c>
      <c r="D58" s="3">
        <v>7</v>
      </c>
      <c r="E58" s="3">
        <v>4</v>
      </c>
      <c r="F58" s="3">
        <v>64</v>
      </c>
      <c r="G58" s="3" t="s">
        <v>135</v>
      </c>
      <c r="H58" s="4">
        <v>44216.69</v>
      </c>
      <c r="I58" s="8"/>
    </row>
    <row r="59" spans="1:9" ht="15" customHeight="1" x14ac:dyDescent="0.3">
      <c r="A59" s="3" t="s">
        <v>176</v>
      </c>
      <c r="B59" s="3" t="s">
        <v>177</v>
      </c>
      <c r="C59" s="3">
        <v>90003</v>
      </c>
      <c r="D59" s="3">
        <v>8</v>
      </c>
      <c r="E59" s="3">
        <v>8</v>
      </c>
      <c r="F59" s="3">
        <v>512</v>
      </c>
      <c r="G59" s="3" t="s">
        <v>100</v>
      </c>
      <c r="H59" s="4">
        <v>27372.29</v>
      </c>
      <c r="I59" s="8"/>
    </row>
    <row r="60" spans="1:9" ht="15" customHeight="1" x14ac:dyDescent="0.3">
      <c r="A60" s="3" t="s">
        <v>178</v>
      </c>
      <c r="B60" s="3" t="s">
        <v>179</v>
      </c>
      <c r="C60" s="3">
        <v>90004</v>
      </c>
      <c r="D60" s="3">
        <v>9</v>
      </c>
      <c r="E60" s="3">
        <v>8</v>
      </c>
      <c r="F60" s="3">
        <v>512</v>
      </c>
      <c r="G60" s="3" t="s">
        <v>120</v>
      </c>
      <c r="H60" s="4">
        <v>29024.55</v>
      </c>
      <c r="I60" s="8"/>
    </row>
    <row r="61" spans="1:9" ht="15" customHeight="1" x14ac:dyDescent="0.3">
      <c r="A61" s="3" t="s">
        <v>180</v>
      </c>
      <c r="B61" s="3" t="s">
        <v>181</v>
      </c>
      <c r="C61" s="3">
        <v>90005</v>
      </c>
      <c r="D61" s="3">
        <v>10</v>
      </c>
      <c r="E61" s="3">
        <v>12</v>
      </c>
      <c r="F61" s="3">
        <v>512</v>
      </c>
      <c r="G61" s="3" t="s">
        <v>100</v>
      </c>
      <c r="H61" s="4">
        <v>34097.910000000003</v>
      </c>
      <c r="I61" s="8"/>
    </row>
    <row r="62" spans="1:9" ht="15" customHeight="1" x14ac:dyDescent="0.3">
      <c r="A62" s="3" t="s">
        <v>182</v>
      </c>
      <c r="B62" s="3" t="s">
        <v>183</v>
      </c>
      <c r="C62" s="3">
        <v>90001</v>
      </c>
      <c r="D62" s="3">
        <v>1</v>
      </c>
      <c r="E62" s="3">
        <v>12</v>
      </c>
      <c r="F62" s="3">
        <v>256</v>
      </c>
      <c r="G62" s="3" t="s">
        <v>120</v>
      </c>
      <c r="H62" s="4">
        <v>4344.97</v>
      </c>
      <c r="I62" s="8"/>
    </row>
    <row r="63" spans="1:9" ht="15" customHeight="1" x14ac:dyDescent="0.3">
      <c r="A63" s="3" t="s">
        <v>184</v>
      </c>
      <c r="B63" s="3" t="s">
        <v>185</v>
      </c>
      <c r="C63" s="3">
        <v>90002</v>
      </c>
      <c r="D63" s="3">
        <v>2</v>
      </c>
      <c r="E63" s="3">
        <v>6</v>
      </c>
      <c r="F63" s="3">
        <v>64</v>
      </c>
      <c r="G63" s="3" t="s">
        <v>120</v>
      </c>
      <c r="H63" s="4">
        <v>32964.839999999997</v>
      </c>
      <c r="I63" s="8"/>
    </row>
    <row r="64" spans="1:9" ht="15" customHeight="1" x14ac:dyDescent="0.3">
      <c r="A64" s="3" t="s">
        <v>186</v>
      </c>
      <c r="B64" s="3" t="s">
        <v>187</v>
      </c>
      <c r="C64" s="3">
        <v>90003</v>
      </c>
      <c r="D64" s="3">
        <v>3</v>
      </c>
      <c r="E64" s="3">
        <v>6</v>
      </c>
      <c r="F64" s="3">
        <v>512</v>
      </c>
      <c r="G64" s="3" t="s">
        <v>92</v>
      </c>
      <c r="H64" s="4">
        <v>50635.78</v>
      </c>
      <c r="I64" s="8"/>
    </row>
    <row r="65" spans="1:9" ht="15" customHeight="1" x14ac:dyDescent="0.3">
      <c r="A65" s="3" t="s">
        <v>188</v>
      </c>
      <c r="B65" s="3" t="s">
        <v>189</v>
      </c>
      <c r="C65" s="3">
        <v>90004</v>
      </c>
      <c r="D65" s="3">
        <v>4</v>
      </c>
      <c r="E65" s="3">
        <v>6</v>
      </c>
      <c r="F65" s="3">
        <v>512</v>
      </c>
      <c r="G65" s="3" t="s">
        <v>92</v>
      </c>
      <c r="H65" s="4">
        <v>53390.87</v>
      </c>
      <c r="I65" s="8"/>
    </row>
    <row r="66" spans="1:9" ht="15" customHeight="1" x14ac:dyDescent="0.3">
      <c r="A66" s="3" t="s">
        <v>190</v>
      </c>
      <c r="B66" s="3" t="s">
        <v>191</v>
      </c>
      <c r="C66" s="3">
        <v>90005</v>
      </c>
      <c r="D66" s="3">
        <v>5</v>
      </c>
      <c r="E66" s="3">
        <v>12</v>
      </c>
      <c r="F66" s="3">
        <v>256</v>
      </c>
      <c r="G66" s="3" t="s">
        <v>87</v>
      </c>
      <c r="H66" s="4">
        <v>20332.04</v>
      </c>
      <c r="I66" s="8"/>
    </row>
    <row r="67" spans="1:9" ht="15" customHeight="1" x14ac:dyDescent="0.3">
      <c r="A67" s="3" t="s">
        <v>192</v>
      </c>
      <c r="B67" s="3" t="s">
        <v>193</v>
      </c>
      <c r="C67" s="3">
        <v>90001</v>
      </c>
      <c r="D67" s="3">
        <v>6</v>
      </c>
      <c r="E67" s="3">
        <v>4</v>
      </c>
      <c r="F67" s="3">
        <v>128</v>
      </c>
      <c r="G67" s="3" t="s">
        <v>96</v>
      </c>
      <c r="H67" s="4">
        <v>24405.54</v>
      </c>
      <c r="I67" s="8"/>
    </row>
    <row r="68" spans="1:9" ht="15" customHeight="1" x14ac:dyDescent="0.3">
      <c r="A68" s="3" t="s">
        <v>194</v>
      </c>
      <c r="B68" s="3" t="s">
        <v>195</v>
      </c>
      <c r="C68" s="3">
        <v>90002</v>
      </c>
      <c r="D68" s="3">
        <v>7</v>
      </c>
      <c r="E68" s="3">
        <v>12</v>
      </c>
      <c r="F68" s="3">
        <v>256</v>
      </c>
      <c r="G68" s="3" t="s">
        <v>87</v>
      </c>
      <c r="H68" s="4">
        <v>45305.43</v>
      </c>
      <c r="I68" s="8"/>
    </row>
    <row r="69" spans="1:9" ht="15" customHeight="1" x14ac:dyDescent="0.3">
      <c r="A69" s="3" t="s">
        <v>196</v>
      </c>
      <c r="B69" s="3" t="s">
        <v>197</v>
      </c>
      <c r="C69" s="3">
        <v>90003</v>
      </c>
      <c r="D69" s="3">
        <v>8</v>
      </c>
      <c r="E69" s="3">
        <v>4</v>
      </c>
      <c r="F69" s="3">
        <v>512</v>
      </c>
      <c r="G69" s="3" t="s">
        <v>100</v>
      </c>
      <c r="H69" s="4">
        <v>19354.89</v>
      </c>
      <c r="I69" s="8"/>
    </row>
    <row r="70" spans="1:9" ht="15" customHeight="1" x14ac:dyDescent="0.3">
      <c r="A70" s="3" t="s">
        <v>198</v>
      </c>
      <c r="B70" s="3" t="s">
        <v>199</v>
      </c>
      <c r="C70" s="3">
        <v>90004</v>
      </c>
      <c r="D70" s="3">
        <v>9</v>
      </c>
      <c r="E70" s="3">
        <v>8</v>
      </c>
      <c r="F70" s="3">
        <v>64</v>
      </c>
      <c r="G70" s="3" t="s">
        <v>87</v>
      </c>
      <c r="H70" s="4">
        <v>47975.35</v>
      </c>
      <c r="I70" s="8"/>
    </row>
    <row r="71" spans="1:9" ht="15" customHeight="1" x14ac:dyDescent="0.3">
      <c r="A71" s="3" t="s">
        <v>200</v>
      </c>
      <c r="B71" s="3" t="s">
        <v>201</v>
      </c>
      <c r="C71" s="3">
        <v>90005</v>
      </c>
      <c r="D71" s="3">
        <v>10</v>
      </c>
      <c r="E71" s="3">
        <v>4</v>
      </c>
      <c r="F71" s="3">
        <v>512</v>
      </c>
      <c r="G71" s="3" t="s">
        <v>87</v>
      </c>
      <c r="H71" s="4">
        <v>5818.61</v>
      </c>
      <c r="I71" s="8"/>
    </row>
    <row r="72" spans="1:9" ht="15" customHeight="1" x14ac:dyDescent="0.3">
      <c r="A72" s="3" t="s">
        <v>202</v>
      </c>
      <c r="B72" s="3" t="s">
        <v>203</v>
      </c>
      <c r="C72" s="3">
        <v>90001</v>
      </c>
      <c r="D72" s="3">
        <v>1</v>
      </c>
      <c r="E72" s="3">
        <v>8</v>
      </c>
      <c r="F72" s="3">
        <v>512</v>
      </c>
      <c r="G72" s="3" t="s">
        <v>92</v>
      </c>
      <c r="H72" s="4">
        <v>42519.51</v>
      </c>
      <c r="I72" s="8"/>
    </row>
    <row r="73" spans="1:9" ht="15" customHeight="1" x14ac:dyDescent="0.3">
      <c r="A73" s="3" t="s">
        <v>204</v>
      </c>
      <c r="B73" s="3" t="s">
        <v>205</v>
      </c>
      <c r="C73" s="3">
        <v>90002</v>
      </c>
      <c r="D73" s="3">
        <v>2</v>
      </c>
      <c r="E73" s="3">
        <v>6</v>
      </c>
      <c r="F73" s="3">
        <v>256</v>
      </c>
      <c r="G73" s="3" t="s">
        <v>135</v>
      </c>
      <c r="H73" s="4">
        <v>51238.98</v>
      </c>
      <c r="I73" s="8"/>
    </row>
    <row r="74" spans="1:9" ht="15" customHeight="1" x14ac:dyDescent="0.3">
      <c r="A74" s="3" t="s">
        <v>206</v>
      </c>
      <c r="B74" s="3" t="s">
        <v>207</v>
      </c>
      <c r="C74" s="3">
        <v>90003</v>
      </c>
      <c r="D74" s="3">
        <v>3</v>
      </c>
      <c r="E74" s="3">
        <v>12</v>
      </c>
      <c r="F74" s="3">
        <v>512</v>
      </c>
      <c r="G74" s="3" t="s">
        <v>100</v>
      </c>
      <c r="H74" s="4">
        <v>4501.21</v>
      </c>
      <c r="I74" s="8"/>
    </row>
    <row r="75" spans="1:9" ht="15" customHeight="1" x14ac:dyDescent="0.3">
      <c r="A75" s="3" t="s">
        <v>208</v>
      </c>
      <c r="B75" s="3" t="s">
        <v>209</v>
      </c>
      <c r="C75" s="3">
        <v>90004</v>
      </c>
      <c r="D75" s="3">
        <v>4</v>
      </c>
      <c r="E75" s="3">
        <v>6</v>
      </c>
      <c r="F75" s="3">
        <v>128</v>
      </c>
      <c r="G75" s="3" t="s">
        <v>120</v>
      </c>
      <c r="H75" s="4">
        <v>31643.63</v>
      </c>
      <c r="I75" s="8"/>
    </row>
    <row r="76" spans="1:9" ht="15" customHeight="1" x14ac:dyDescent="0.3">
      <c r="A76" s="3" t="s">
        <v>210</v>
      </c>
      <c r="B76" s="3" t="s">
        <v>211</v>
      </c>
      <c r="C76" s="3">
        <v>90005</v>
      </c>
      <c r="D76" s="3">
        <v>5</v>
      </c>
      <c r="E76" s="3">
        <v>12</v>
      </c>
      <c r="F76" s="3">
        <v>64</v>
      </c>
      <c r="G76" s="3" t="s">
        <v>89</v>
      </c>
      <c r="H76" s="4">
        <v>54597.37</v>
      </c>
      <c r="I76" s="8"/>
    </row>
    <row r="77" spans="1:9" ht="15" customHeight="1" x14ac:dyDescent="0.3">
      <c r="A77" s="3" t="s">
        <v>212</v>
      </c>
      <c r="B77" s="3" t="s">
        <v>213</v>
      </c>
      <c r="C77" s="3">
        <v>90001</v>
      </c>
      <c r="D77" s="3">
        <v>6</v>
      </c>
      <c r="E77" s="3">
        <v>4</v>
      </c>
      <c r="F77" s="3">
        <v>512</v>
      </c>
      <c r="G77" s="3" t="s">
        <v>100</v>
      </c>
      <c r="H77" s="4">
        <v>36680.9</v>
      </c>
      <c r="I77" s="8"/>
    </row>
    <row r="78" spans="1:9" ht="15" customHeight="1" x14ac:dyDescent="0.3">
      <c r="A78" s="3" t="s">
        <v>214</v>
      </c>
      <c r="B78" s="3" t="s">
        <v>215</v>
      </c>
      <c r="C78" s="3">
        <v>90002</v>
      </c>
      <c r="D78" s="3">
        <v>7</v>
      </c>
      <c r="E78" s="3">
        <v>6</v>
      </c>
      <c r="F78" s="3">
        <v>512</v>
      </c>
      <c r="G78" s="3" t="s">
        <v>120</v>
      </c>
      <c r="H78" s="4">
        <v>29461.34</v>
      </c>
      <c r="I78" s="8"/>
    </row>
    <row r="79" spans="1:9" ht="15" customHeight="1" x14ac:dyDescent="0.3">
      <c r="A79" s="3" t="s">
        <v>216</v>
      </c>
      <c r="B79" s="3" t="s">
        <v>217</v>
      </c>
      <c r="C79" s="3">
        <v>90003</v>
      </c>
      <c r="D79" s="3">
        <v>8</v>
      </c>
      <c r="E79" s="3">
        <v>8</v>
      </c>
      <c r="F79" s="3">
        <v>512</v>
      </c>
      <c r="G79" s="3" t="s">
        <v>92</v>
      </c>
      <c r="H79" s="4">
        <v>53972.72</v>
      </c>
      <c r="I79" s="8"/>
    </row>
    <row r="80" spans="1:9" ht="15" customHeight="1" x14ac:dyDescent="0.3">
      <c r="A80" s="3" t="s">
        <v>218</v>
      </c>
      <c r="B80" s="3" t="s">
        <v>219</v>
      </c>
      <c r="C80" s="3">
        <v>90004</v>
      </c>
      <c r="D80" s="3">
        <v>9</v>
      </c>
      <c r="E80" s="3">
        <v>6</v>
      </c>
      <c r="F80" s="3">
        <v>512</v>
      </c>
      <c r="G80" s="3" t="s">
        <v>135</v>
      </c>
      <c r="H80" s="4">
        <v>22946.47</v>
      </c>
      <c r="I80" s="8"/>
    </row>
    <row r="81" spans="1:9" ht="15" customHeight="1" x14ac:dyDescent="0.3">
      <c r="A81" s="3" t="s">
        <v>220</v>
      </c>
      <c r="B81" s="3" t="s">
        <v>221</v>
      </c>
      <c r="C81" s="3">
        <v>90005</v>
      </c>
      <c r="D81" s="3">
        <v>10</v>
      </c>
      <c r="E81" s="3">
        <v>6</v>
      </c>
      <c r="F81" s="3">
        <v>64</v>
      </c>
      <c r="G81" s="3" t="s">
        <v>120</v>
      </c>
      <c r="H81" s="4">
        <v>43179.11</v>
      </c>
      <c r="I81" s="8"/>
    </row>
    <row r="82" spans="1:9" ht="15" customHeight="1" x14ac:dyDescent="0.3">
      <c r="A82" s="3" t="s">
        <v>222</v>
      </c>
      <c r="B82" s="3" t="s">
        <v>223</v>
      </c>
      <c r="C82" s="3">
        <v>90001</v>
      </c>
      <c r="D82" s="3">
        <v>1</v>
      </c>
      <c r="E82" s="3">
        <v>12</v>
      </c>
      <c r="F82" s="3">
        <v>256</v>
      </c>
      <c r="G82" s="3" t="s">
        <v>120</v>
      </c>
      <c r="H82" s="4">
        <v>45668.57</v>
      </c>
      <c r="I82" s="8"/>
    </row>
    <row r="83" spans="1:9" ht="15" customHeight="1" x14ac:dyDescent="0.3">
      <c r="A83" s="3" t="s">
        <v>224</v>
      </c>
      <c r="B83" s="3" t="s">
        <v>225</v>
      </c>
      <c r="C83" s="3">
        <v>90002</v>
      </c>
      <c r="D83" s="3">
        <v>2</v>
      </c>
      <c r="E83" s="3">
        <v>8</v>
      </c>
      <c r="F83" s="3">
        <v>256</v>
      </c>
      <c r="G83" s="3" t="s">
        <v>92</v>
      </c>
      <c r="H83" s="4">
        <v>47993.55</v>
      </c>
      <c r="I83" s="8"/>
    </row>
    <row r="84" spans="1:9" ht="15" customHeight="1" x14ac:dyDescent="0.3">
      <c r="A84" s="3" t="s">
        <v>226</v>
      </c>
      <c r="B84" s="3" t="s">
        <v>227</v>
      </c>
      <c r="C84" s="3">
        <v>90003</v>
      </c>
      <c r="D84" s="3">
        <v>3</v>
      </c>
      <c r="E84" s="3">
        <v>12</v>
      </c>
      <c r="F84" s="3">
        <v>512</v>
      </c>
      <c r="G84" s="3" t="s">
        <v>96</v>
      </c>
      <c r="H84" s="4">
        <v>20286.88</v>
      </c>
      <c r="I84" s="8"/>
    </row>
    <row r="85" spans="1:9" ht="15" customHeight="1" x14ac:dyDescent="0.3">
      <c r="A85" s="3" t="s">
        <v>228</v>
      </c>
      <c r="B85" s="3" t="s">
        <v>229</v>
      </c>
      <c r="C85" s="3">
        <v>90004</v>
      </c>
      <c r="D85" s="3">
        <v>4</v>
      </c>
      <c r="E85" s="3">
        <v>12</v>
      </c>
      <c r="F85" s="3">
        <v>512</v>
      </c>
      <c r="G85" s="3" t="s">
        <v>96</v>
      </c>
      <c r="H85" s="4">
        <v>48219.29</v>
      </c>
      <c r="I85" s="8"/>
    </row>
    <row r="86" spans="1:9" ht="15" customHeight="1" x14ac:dyDescent="0.3">
      <c r="A86" s="3" t="s">
        <v>230</v>
      </c>
      <c r="B86" s="3" t="s">
        <v>231</v>
      </c>
      <c r="C86" s="3">
        <v>90005</v>
      </c>
      <c r="D86" s="3">
        <v>5</v>
      </c>
      <c r="E86" s="3">
        <v>6</v>
      </c>
      <c r="F86" s="3">
        <v>512</v>
      </c>
      <c r="G86" s="3" t="s">
        <v>89</v>
      </c>
      <c r="H86" s="4">
        <v>47512.67</v>
      </c>
      <c r="I86" s="8"/>
    </row>
    <row r="87" spans="1:9" ht="15" customHeight="1" x14ac:dyDescent="0.3">
      <c r="A87" s="3" t="s">
        <v>232</v>
      </c>
      <c r="B87" s="3" t="s">
        <v>233</v>
      </c>
      <c r="C87" s="3">
        <v>90001</v>
      </c>
      <c r="D87" s="3">
        <v>6</v>
      </c>
      <c r="E87" s="3">
        <v>12</v>
      </c>
      <c r="F87" s="3">
        <v>64</v>
      </c>
      <c r="G87" s="3" t="s">
        <v>96</v>
      </c>
      <c r="H87" s="4">
        <v>41724.67</v>
      </c>
      <c r="I87" s="8"/>
    </row>
    <row r="88" spans="1:9" ht="15" customHeight="1" x14ac:dyDescent="0.3">
      <c r="A88" s="3" t="s">
        <v>234</v>
      </c>
      <c r="B88" s="3" t="s">
        <v>235</v>
      </c>
      <c r="C88" s="3">
        <v>90002</v>
      </c>
      <c r="D88" s="3">
        <v>7</v>
      </c>
      <c r="E88" s="3">
        <v>12</v>
      </c>
      <c r="F88" s="3">
        <v>512</v>
      </c>
      <c r="G88" s="3" t="s">
        <v>135</v>
      </c>
      <c r="H88" s="4">
        <v>28757.09</v>
      </c>
      <c r="I88" s="8"/>
    </row>
    <row r="89" spans="1:9" ht="15" customHeight="1" x14ac:dyDescent="0.3">
      <c r="A89" s="3" t="s">
        <v>236</v>
      </c>
      <c r="B89" s="3" t="s">
        <v>237</v>
      </c>
      <c r="C89" s="3">
        <v>90003</v>
      </c>
      <c r="D89" s="3">
        <v>8</v>
      </c>
      <c r="E89" s="3">
        <v>4</v>
      </c>
      <c r="F89" s="3">
        <v>128</v>
      </c>
      <c r="G89" s="3" t="s">
        <v>96</v>
      </c>
      <c r="H89" s="4">
        <v>48224.42</v>
      </c>
      <c r="I89" s="8"/>
    </row>
    <row r="90" spans="1:9" ht="15" customHeight="1" x14ac:dyDescent="0.3">
      <c r="A90" s="3" t="s">
        <v>238</v>
      </c>
      <c r="B90" s="3" t="s">
        <v>239</v>
      </c>
      <c r="C90" s="3">
        <v>90004</v>
      </c>
      <c r="D90" s="3">
        <v>9</v>
      </c>
      <c r="E90" s="3">
        <v>12</v>
      </c>
      <c r="F90" s="3">
        <v>64</v>
      </c>
      <c r="G90" s="3" t="s">
        <v>92</v>
      </c>
      <c r="H90" s="4">
        <v>3798.08</v>
      </c>
      <c r="I90" s="8"/>
    </row>
    <row r="91" spans="1:9" ht="15" customHeight="1" x14ac:dyDescent="0.3">
      <c r="A91" s="3" t="s">
        <v>240</v>
      </c>
      <c r="B91" s="3" t="s">
        <v>241</v>
      </c>
      <c r="C91" s="3">
        <v>90005</v>
      </c>
      <c r="D91" s="3">
        <v>10</v>
      </c>
      <c r="E91" s="3">
        <v>6</v>
      </c>
      <c r="F91" s="3">
        <v>512</v>
      </c>
      <c r="G91" s="3" t="s">
        <v>135</v>
      </c>
      <c r="H91" s="4">
        <v>6891.07</v>
      </c>
      <c r="I91" s="8"/>
    </row>
    <row r="92" spans="1:9" ht="15" customHeight="1" x14ac:dyDescent="0.3">
      <c r="A92" s="3" t="s">
        <v>242</v>
      </c>
      <c r="B92" s="3" t="s">
        <v>243</v>
      </c>
      <c r="C92" s="3">
        <v>90001</v>
      </c>
      <c r="D92" s="3">
        <v>1</v>
      </c>
      <c r="E92" s="3">
        <v>8</v>
      </c>
      <c r="F92" s="3">
        <v>256</v>
      </c>
      <c r="G92" s="3" t="s">
        <v>87</v>
      </c>
      <c r="H92" s="4">
        <v>36791.51</v>
      </c>
      <c r="I92" s="8"/>
    </row>
    <row r="93" spans="1:9" ht="15" customHeight="1" x14ac:dyDescent="0.3">
      <c r="A93" s="3" t="s">
        <v>244</v>
      </c>
      <c r="B93" s="3" t="s">
        <v>245</v>
      </c>
      <c r="C93" s="3">
        <v>90002</v>
      </c>
      <c r="D93" s="3">
        <v>2</v>
      </c>
      <c r="E93" s="3">
        <v>8</v>
      </c>
      <c r="F93" s="3">
        <v>512</v>
      </c>
      <c r="G93" s="3" t="s">
        <v>96</v>
      </c>
      <c r="H93" s="4">
        <v>35593.56</v>
      </c>
      <c r="I93" s="8"/>
    </row>
    <row r="94" spans="1:9" ht="15" customHeight="1" x14ac:dyDescent="0.3">
      <c r="A94" s="3" t="s">
        <v>246</v>
      </c>
      <c r="B94" s="3" t="s">
        <v>247</v>
      </c>
      <c r="C94" s="3">
        <v>90003</v>
      </c>
      <c r="D94" s="3">
        <v>3</v>
      </c>
      <c r="E94" s="3">
        <v>12</v>
      </c>
      <c r="F94" s="3">
        <v>64</v>
      </c>
      <c r="G94" s="3" t="s">
        <v>100</v>
      </c>
      <c r="H94" s="4">
        <v>15208.05</v>
      </c>
      <c r="I94" s="8"/>
    </row>
    <row r="95" spans="1:9" ht="15" customHeight="1" x14ac:dyDescent="0.3">
      <c r="A95" s="3" t="s">
        <v>248</v>
      </c>
      <c r="B95" s="3" t="s">
        <v>249</v>
      </c>
      <c r="C95" s="3">
        <v>90004</v>
      </c>
      <c r="D95" s="3">
        <v>4</v>
      </c>
      <c r="E95" s="3">
        <v>8</v>
      </c>
      <c r="F95" s="3">
        <v>128</v>
      </c>
      <c r="G95" s="3" t="s">
        <v>100</v>
      </c>
      <c r="H95" s="4">
        <v>25566.52</v>
      </c>
      <c r="I95" s="8"/>
    </row>
    <row r="96" spans="1:9" ht="15" customHeight="1" x14ac:dyDescent="0.3">
      <c r="A96" s="3" t="s">
        <v>250</v>
      </c>
      <c r="B96" s="3" t="s">
        <v>251</v>
      </c>
      <c r="C96" s="3">
        <v>90005</v>
      </c>
      <c r="D96" s="3">
        <v>5</v>
      </c>
      <c r="E96" s="3">
        <v>4</v>
      </c>
      <c r="F96" s="3">
        <v>64</v>
      </c>
      <c r="G96" s="3" t="s">
        <v>92</v>
      </c>
      <c r="H96" s="4">
        <v>11650.97</v>
      </c>
      <c r="I96" s="8"/>
    </row>
    <row r="97" spans="1:9" ht="15" customHeight="1" x14ac:dyDescent="0.3">
      <c r="A97" s="3" t="s">
        <v>252</v>
      </c>
      <c r="B97" s="3" t="s">
        <v>253</v>
      </c>
      <c r="C97" s="3">
        <v>90001</v>
      </c>
      <c r="D97" s="3">
        <v>6</v>
      </c>
      <c r="E97" s="3">
        <v>8</v>
      </c>
      <c r="F97" s="3">
        <v>64</v>
      </c>
      <c r="G97" s="3" t="s">
        <v>19</v>
      </c>
      <c r="H97" s="4">
        <v>19867.48</v>
      </c>
      <c r="I97" s="8"/>
    </row>
    <row r="98" spans="1:9" ht="15" customHeight="1" x14ac:dyDescent="0.3">
      <c r="A98" s="3" t="s">
        <v>254</v>
      </c>
      <c r="B98" s="3" t="s">
        <v>255</v>
      </c>
      <c r="C98" s="3">
        <v>90002</v>
      </c>
      <c r="D98" s="3">
        <v>7</v>
      </c>
      <c r="E98" s="3">
        <v>4</v>
      </c>
      <c r="F98" s="3">
        <v>256</v>
      </c>
      <c r="G98" s="3" t="s">
        <v>96</v>
      </c>
      <c r="H98" s="4">
        <v>22491.74</v>
      </c>
      <c r="I98" s="8"/>
    </row>
    <row r="99" spans="1:9" ht="15" customHeight="1" x14ac:dyDescent="0.3">
      <c r="A99" s="3" t="s">
        <v>256</v>
      </c>
      <c r="B99" s="3" t="s">
        <v>257</v>
      </c>
      <c r="C99" s="3">
        <v>90003</v>
      </c>
      <c r="D99" s="3">
        <v>8</v>
      </c>
      <c r="E99" s="3">
        <v>6</v>
      </c>
      <c r="F99" s="3">
        <v>128</v>
      </c>
      <c r="G99" s="3" t="s">
        <v>87</v>
      </c>
      <c r="H99" s="4">
        <v>32428.26</v>
      </c>
      <c r="I99" s="8"/>
    </row>
    <row r="100" spans="1:9" ht="15" customHeight="1" x14ac:dyDescent="0.3">
      <c r="A100" s="3" t="s">
        <v>258</v>
      </c>
      <c r="B100" s="3" t="s">
        <v>259</v>
      </c>
      <c r="C100" s="3">
        <v>90004</v>
      </c>
      <c r="D100" s="3">
        <v>9</v>
      </c>
      <c r="E100" s="3">
        <v>6</v>
      </c>
      <c r="F100" s="3">
        <v>128</v>
      </c>
      <c r="G100" s="3" t="s">
        <v>135</v>
      </c>
      <c r="H100" s="4">
        <v>7106.35</v>
      </c>
      <c r="I100" s="8"/>
    </row>
    <row r="101" spans="1:9" ht="15" customHeight="1" x14ac:dyDescent="0.3">
      <c r="A101" s="3" t="s">
        <v>260</v>
      </c>
      <c r="B101" s="3" t="s">
        <v>261</v>
      </c>
      <c r="C101" s="3">
        <v>90005</v>
      </c>
      <c r="D101" s="3">
        <v>10</v>
      </c>
      <c r="E101" s="3">
        <v>12</v>
      </c>
      <c r="F101" s="3">
        <v>128</v>
      </c>
      <c r="G101" s="3" t="s">
        <v>92</v>
      </c>
      <c r="H101" s="4">
        <v>50467.11</v>
      </c>
      <c r="I101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1"/>
  <sheetViews>
    <sheetView showGridLines="0" zoomScaleNormal="100" workbookViewId="0">
      <selection sqref="A1:E101"/>
    </sheetView>
  </sheetViews>
  <sheetFormatPr defaultColWidth="8.6640625" defaultRowHeight="14.4" x14ac:dyDescent="0.3"/>
  <cols>
    <col min="1" max="1" width="13" style="1" customWidth="1"/>
    <col min="2" max="2" width="40" style="1" customWidth="1"/>
    <col min="3" max="3" width="20" style="1" customWidth="1"/>
    <col min="4" max="4" width="22" style="1" customWidth="1"/>
  </cols>
  <sheetData>
    <row r="1" spans="1:5" ht="19.5" customHeight="1" x14ac:dyDescent="0.3">
      <c r="A1" s="7" t="s">
        <v>2</v>
      </c>
      <c r="B1" s="7" t="s">
        <v>262</v>
      </c>
      <c r="C1" s="7" t="s">
        <v>263</v>
      </c>
      <c r="D1" s="7" t="s">
        <v>264</v>
      </c>
      <c r="E1" s="8"/>
    </row>
    <row r="2" spans="1:5" ht="15" customHeight="1" x14ac:dyDescent="0.3">
      <c r="A2" s="3">
        <v>90001</v>
      </c>
      <c r="B2" s="3" t="s">
        <v>31</v>
      </c>
      <c r="C2" s="3" t="s">
        <v>265</v>
      </c>
      <c r="D2" s="3"/>
      <c r="E2" s="8"/>
    </row>
    <row r="3" spans="1:5" ht="15" customHeight="1" x14ac:dyDescent="0.3">
      <c r="A3" s="3">
        <v>90002</v>
      </c>
      <c r="B3" s="3" t="s">
        <v>266</v>
      </c>
      <c r="C3" s="3" t="s">
        <v>267</v>
      </c>
      <c r="D3" s="3"/>
      <c r="E3" s="8"/>
    </row>
    <row r="4" spans="1:5" ht="15" customHeight="1" x14ac:dyDescent="0.3">
      <c r="A4" s="3">
        <v>90003</v>
      </c>
      <c r="B4" s="3" t="s">
        <v>268</v>
      </c>
      <c r="C4" s="3" t="s">
        <v>269</v>
      </c>
      <c r="D4" s="3"/>
      <c r="E4" s="8"/>
    </row>
    <row r="5" spans="1:5" ht="15" customHeight="1" x14ac:dyDescent="0.3">
      <c r="A5" s="3">
        <v>90004</v>
      </c>
      <c r="B5" s="3" t="s">
        <v>270</v>
      </c>
      <c r="C5" s="3" t="s">
        <v>271</v>
      </c>
      <c r="D5" s="3"/>
      <c r="E5" s="8"/>
    </row>
    <row r="6" spans="1:5" ht="15" customHeight="1" x14ac:dyDescent="0.3">
      <c r="A6" s="3">
        <v>90005</v>
      </c>
      <c r="B6" s="3" t="s">
        <v>272</v>
      </c>
      <c r="C6" s="3" t="s">
        <v>273</v>
      </c>
      <c r="D6" s="3"/>
      <c r="E6" s="8"/>
    </row>
    <row r="7" spans="1:5" ht="15" customHeight="1" x14ac:dyDescent="0.3">
      <c r="A7" s="3">
        <v>90006</v>
      </c>
      <c r="B7" s="3" t="s">
        <v>274</v>
      </c>
      <c r="C7" s="3" t="s">
        <v>275</v>
      </c>
      <c r="D7" s="3"/>
      <c r="E7" s="8"/>
    </row>
    <row r="8" spans="1:5" ht="15" customHeight="1" x14ac:dyDescent="0.3">
      <c r="A8" s="3">
        <v>90007</v>
      </c>
      <c r="B8" s="3" t="s">
        <v>276</v>
      </c>
      <c r="C8" s="3" t="s">
        <v>277</v>
      </c>
      <c r="D8" s="3"/>
      <c r="E8" s="8"/>
    </row>
    <row r="9" spans="1:5" ht="15" customHeight="1" x14ac:dyDescent="0.3">
      <c r="A9" s="3">
        <v>90008</v>
      </c>
      <c r="B9" s="3" t="s">
        <v>278</v>
      </c>
      <c r="C9" s="3" t="s">
        <v>279</v>
      </c>
      <c r="D9" s="3"/>
      <c r="E9" s="8"/>
    </row>
    <row r="10" spans="1:5" ht="15" customHeight="1" x14ac:dyDescent="0.3">
      <c r="A10" s="3">
        <v>90009</v>
      </c>
      <c r="B10" s="3" t="s">
        <v>280</v>
      </c>
      <c r="C10" s="3" t="s">
        <v>281</v>
      </c>
      <c r="D10" s="3"/>
      <c r="E10" s="8"/>
    </row>
    <row r="11" spans="1:5" ht="15" customHeight="1" x14ac:dyDescent="0.3">
      <c r="A11" s="3">
        <v>90010</v>
      </c>
      <c r="B11" s="3" t="s">
        <v>282</v>
      </c>
      <c r="C11" s="3" t="s">
        <v>283</v>
      </c>
      <c r="D11" s="3"/>
      <c r="E11" s="8"/>
    </row>
    <row r="12" spans="1:5" ht="15" customHeight="1" x14ac:dyDescent="0.3">
      <c r="A12" s="3">
        <v>90011</v>
      </c>
      <c r="B12" s="3" t="s">
        <v>284</v>
      </c>
      <c r="C12" s="3" t="s">
        <v>285</v>
      </c>
      <c r="D12" s="3">
        <v>90001</v>
      </c>
      <c r="E12" s="8"/>
    </row>
    <row r="13" spans="1:5" ht="15" customHeight="1" x14ac:dyDescent="0.3">
      <c r="A13" s="3">
        <v>90012</v>
      </c>
      <c r="B13" s="3" t="s">
        <v>286</v>
      </c>
      <c r="C13" s="3" t="s">
        <v>287</v>
      </c>
      <c r="D13" s="3">
        <v>90002</v>
      </c>
      <c r="E13" s="8"/>
    </row>
    <row r="14" spans="1:5" ht="15" customHeight="1" x14ac:dyDescent="0.3">
      <c r="A14" s="3">
        <v>90013</v>
      </c>
      <c r="B14" s="3" t="s">
        <v>288</v>
      </c>
      <c r="C14" s="3" t="s">
        <v>289</v>
      </c>
      <c r="D14" s="3">
        <v>90003</v>
      </c>
      <c r="E14" s="8"/>
    </row>
    <row r="15" spans="1:5" ht="15" customHeight="1" x14ac:dyDescent="0.3">
      <c r="A15" s="3">
        <v>90014</v>
      </c>
      <c r="B15" s="3" t="s">
        <v>290</v>
      </c>
      <c r="C15" s="3" t="s">
        <v>291</v>
      </c>
      <c r="D15" s="3">
        <v>90004</v>
      </c>
      <c r="E15" s="8"/>
    </row>
    <row r="16" spans="1:5" ht="15" customHeight="1" x14ac:dyDescent="0.3">
      <c r="A16" s="3">
        <v>90015</v>
      </c>
      <c r="B16" s="3" t="s">
        <v>292</v>
      </c>
      <c r="C16" s="3" t="s">
        <v>293</v>
      </c>
      <c r="D16" s="3">
        <v>90005</v>
      </c>
      <c r="E16" s="8"/>
    </row>
    <row r="17" spans="1:5" ht="15" customHeight="1" x14ac:dyDescent="0.3">
      <c r="A17" s="3">
        <v>90016</v>
      </c>
      <c r="B17" s="3" t="s">
        <v>294</v>
      </c>
      <c r="C17" s="3" t="s">
        <v>295</v>
      </c>
      <c r="D17" s="3">
        <v>90001</v>
      </c>
      <c r="E17" s="8"/>
    </row>
    <row r="18" spans="1:5" ht="15" customHeight="1" x14ac:dyDescent="0.3">
      <c r="A18" s="3">
        <v>90017</v>
      </c>
      <c r="B18" s="3" t="s">
        <v>296</v>
      </c>
      <c r="C18" s="3" t="s">
        <v>297</v>
      </c>
      <c r="D18" s="3">
        <v>90002</v>
      </c>
      <c r="E18" s="8"/>
    </row>
    <row r="19" spans="1:5" ht="15" customHeight="1" x14ac:dyDescent="0.3">
      <c r="A19" s="3">
        <v>90018</v>
      </c>
      <c r="B19" s="3" t="s">
        <v>298</v>
      </c>
      <c r="C19" s="3" t="s">
        <v>299</v>
      </c>
      <c r="D19" s="3">
        <v>90003</v>
      </c>
      <c r="E19" s="8"/>
    </row>
    <row r="20" spans="1:5" ht="15" customHeight="1" x14ac:dyDescent="0.3">
      <c r="A20" s="3">
        <v>90019</v>
      </c>
      <c r="B20" s="3" t="s">
        <v>300</v>
      </c>
      <c r="C20" s="3" t="s">
        <v>301</v>
      </c>
      <c r="D20" s="3">
        <v>90004</v>
      </c>
      <c r="E20" s="8"/>
    </row>
    <row r="21" spans="1:5" ht="15" customHeight="1" x14ac:dyDescent="0.3">
      <c r="A21" s="3">
        <v>90020</v>
      </c>
      <c r="B21" s="3" t="s">
        <v>302</v>
      </c>
      <c r="C21" s="3" t="s">
        <v>303</v>
      </c>
      <c r="D21" s="3">
        <v>90005</v>
      </c>
      <c r="E21" s="8"/>
    </row>
    <row r="22" spans="1:5" ht="15" customHeight="1" x14ac:dyDescent="0.3">
      <c r="A22" s="3">
        <v>90021</v>
      </c>
      <c r="B22" s="3" t="s">
        <v>304</v>
      </c>
      <c r="C22" s="3" t="s">
        <v>305</v>
      </c>
      <c r="D22" s="3">
        <v>90001</v>
      </c>
      <c r="E22" s="8"/>
    </row>
    <row r="23" spans="1:5" ht="15" customHeight="1" x14ac:dyDescent="0.3">
      <c r="A23" s="3">
        <v>90022</v>
      </c>
      <c r="B23" s="3" t="s">
        <v>306</v>
      </c>
      <c r="C23" s="3" t="s">
        <v>307</v>
      </c>
      <c r="D23" s="3">
        <v>90002</v>
      </c>
      <c r="E23" s="8"/>
    </row>
    <row r="24" spans="1:5" ht="15" customHeight="1" x14ac:dyDescent="0.3">
      <c r="A24" s="3">
        <v>90023</v>
      </c>
      <c r="B24" s="3" t="s">
        <v>308</v>
      </c>
      <c r="C24" s="3" t="s">
        <v>309</v>
      </c>
      <c r="D24" s="3">
        <v>90003</v>
      </c>
      <c r="E24" s="8"/>
    </row>
    <row r="25" spans="1:5" ht="15" customHeight="1" x14ac:dyDescent="0.3">
      <c r="A25" s="3">
        <v>90024</v>
      </c>
      <c r="B25" s="3" t="s">
        <v>310</v>
      </c>
      <c r="C25" s="3" t="s">
        <v>311</v>
      </c>
      <c r="D25" s="3">
        <v>90004</v>
      </c>
      <c r="E25" s="8"/>
    </row>
    <row r="26" spans="1:5" ht="15" customHeight="1" x14ac:dyDescent="0.3">
      <c r="A26" s="3">
        <v>90025</v>
      </c>
      <c r="B26" s="3" t="s">
        <v>312</v>
      </c>
      <c r="C26" s="3" t="s">
        <v>313</v>
      </c>
      <c r="D26" s="3">
        <v>90005</v>
      </c>
      <c r="E26" s="8"/>
    </row>
    <row r="27" spans="1:5" ht="15" customHeight="1" x14ac:dyDescent="0.3">
      <c r="A27" s="3">
        <v>90026</v>
      </c>
      <c r="B27" s="3" t="s">
        <v>314</v>
      </c>
      <c r="C27" s="3" t="s">
        <v>315</v>
      </c>
      <c r="D27" s="3">
        <v>90001</v>
      </c>
      <c r="E27" s="8"/>
    </row>
    <row r="28" spans="1:5" ht="15" customHeight="1" x14ac:dyDescent="0.3">
      <c r="A28" s="3">
        <v>90027</v>
      </c>
      <c r="B28" s="3" t="s">
        <v>316</v>
      </c>
      <c r="C28" s="3" t="s">
        <v>317</v>
      </c>
      <c r="D28" s="3">
        <v>90002</v>
      </c>
      <c r="E28" s="8"/>
    </row>
    <row r="29" spans="1:5" ht="15" customHeight="1" x14ac:dyDescent="0.3">
      <c r="A29" s="3">
        <v>90028</v>
      </c>
      <c r="B29" s="3" t="s">
        <v>318</v>
      </c>
      <c r="C29" s="3" t="s">
        <v>319</v>
      </c>
      <c r="D29" s="3">
        <v>90003</v>
      </c>
      <c r="E29" s="8"/>
    </row>
    <row r="30" spans="1:5" ht="15" customHeight="1" x14ac:dyDescent="0.3">
      <c r="A30" s="3">
        <v>90029</v>
      </c>
      <c r="B30" s="3" t="s">
        <v>320</v>
      </c>
      <c r="C30" s="3" t="s">
        <v>321</v>
      </c>
      <c r="D30" s="3">
        <v>90004</v>
      </c>
      <c r="E30" s="8"/>
    </row>
    <row r="31" spans="1:5" ht="15" customHeight="1" x14ac:dyDescent="0.3">
      <c r="A31" s="3">
        <v>90030</v>
      </c>
      <c r="B31" s="3" t="s">
        <v>322</v>
      </c>
      <c r="C31" s="3" t="s">
        <v>323</v>
      </c>
      <c r="D31" s="3">
        <v>90005</v>
      </c>
      <c r="E31" s="8"/>
    </row>
    <row r="32" spans="1:5" ht="15" customHeight="1" x14ac:dyDescent="0.3">
      <c r="A32" s="3">
        <v>90031</v>
      </c>
      <c r="B32" s="3" t="s">
        <v>324</v>
      </c>
      <c r="C32" s="3" t="s">
        <v>325</v>
      </c>
      <c r="D32" s="3">
        <v>90001</v>
      </c>
      <c r="E32" s="8"/>
    </row>
    <row r="33" spans="1:5" ht="15" customHeight="1" x14ac:dyDescent="0.3">
      <c r="A33" s="3">
        <v>90032</v>
      </c>
      <c r="B33" s="3" t="s">
        <v>326</v>
      </c>
      <c r="C33" s="3" t="s">
        <v>327</v>
      </c>
      <c r="D33" s="3">
        <v>90002</v>
      </c>
      <c r="E33" s="8"/>
    </row>
    <row r="34" spans="1:5" ht="15" customHeight="1" x14ac:dyDescent="0.3">
      <c r="A34" s="3">
        <v>90033</v>
      </c>
      <c r="B34" s="3" t="s">
        <v>328</v>
      </c>
      <c r="C34" s="3" t="s">
        <v>329</v>
      </c>
      <c r="D34" s="3">
        <v>90003</v>
      </c>
      <c r="E34" s="8"/>
    </row>
    <row r="35" spans="1:5" ht="15" customHeight="1" x14ac:dyDescent="0.3">
      <c r="A35" s="3">
        <v>90034</v>
      </c>
      <c r="B35" s="3" t="s">
        <v>330</v>
      </c>
      <c r="C35" s="3" t="s">
        <v>331</v>
      </c>
      <c r="D35" s="3">
        <v>90004</v>
      </c>
      <c r="E35" s="8"/>
    </row>
    <row r="36" spans="1:5" ht="15" customHeight="1" x14ac:dyDescent="0.3">
      <c r="A36" s="3">
        <v>90035</v>
      </c>
      <c r="B36" s="3" t="s">
        <v>332</v>
      </c>
      <c r="C36" s="3" t="s">
        <v>333</v>
      </c>
      <c r="D36" s="3">
        <v>90005</v>
      </c>
      <c r="E36" s="8"/>
    </row>
    <row r="37" spans="1:5" ht="15" customHeight="1" x14ac:dyDescent="0.3">
      <c r="A37" s="3">
        <v>90036</v>
      </c>
      <c r="B37" s="3" t="s">
        <v>334</v>
      </c>
      <c r="C37" s="3" t="s">
        <v>335</v>
      </c>
      <c r="D37" s="3">
        <v>90001</v>
      </c>
      <c r="E37" s="8"/>
    </row>
    <row r="38" spans="1:5" ht="15" customHeight="1" x14ac:dyDescent="0.3">
      <c r="A38" s="3">
        <v>90037</v>
      </c>
      <c r="B38" s="3" t="s">
        <v>336</v>
      </c>
      <c r="C38" s="3" t="s">
        <v>337</v>
      </c>
      <c r="D38" s="3">
        <v>90002</v>
      </c>
      <c r="E38" s="8"/>
    </row>
    <row r="39" spans="1:5" ht="15" customHeight="1" x14ac:dyDescent="0.3">
      <c r="A39" s="3">
        <v>90038</v>
      </c>
      <c r="B39" s="3" t="s">
        <v>338</v>
      </c>
      <c r="C39" s="3" t="s">
        <v>339</v>
      </c>
      <c r="D39" s="3">
        <v>90003</v>
      </c>
      <c r="E39" s="8"/>
    </row>
    <row r="40" spans="1:5" ht="15" customHeight="1" x14ac:dyDescent="0.3">
      <c r="A40" s="3">
        <v>90039</v>
      </c>
      <c r="B40" s="3" t="s">
        <v>340</v>
      </c>
      <c r="C40" s="3" t="s">
        <v>341</v>
      </c>
      <c r="D40" s="3">
        <v>90004</v>
      </c>
      <c r="E40" s="8"/>
    </row>
    <row r="41" spans="1:5" ht="15" customHeight="1" x14ac:dyDescent="0.3">
      <c r="A41" s="3">
        <v>90040</v>
      </c>
      <c r="B41" s="3" t="s">
        <v>342</v>
      </c>
      <c r="C41" s="3" t="s">
        <v>343</v>
      </c>
      <c r="D41" s="3">
        <v>90005</v>
      </c>
      <c r="E41" s="8"/>
    </row>
    <row r="42" spans="1:5" ht="15" customHeight="1" x14ac:dyDescent="0.3">
      <c r="A42" s="3">
        <v>90041</v>
      </c>
      <c r="B42" s="3" t="s">
        <v>344</v>
      </c>
      <c r="C42" s="3" t="s">
        <v>345</v>
      </c>
      <c r="D42" s="3">
        <v>90001</v>
      </c>
      <c r="E42" s="8"/>
    </row>
    <row r="43" spans="1:5" ht="15" customHeight="1" x14ac:dyDescent="0.3">
      <c r="A43" s="3">
        <v>90042</v>
      </c>
      <c r="B43" s="3" t="s">
        <v>346</v>
      </c>
      <c r="C43" s="3" t="s">
        <v>347</v>
      </c>
      <c r="D43" s="3">
        <v>90002</v>
      </c>
      <c r="E43" s="8"/>
    </row>
    <row r="44" spans="1:5" ht="15" customHeight="1" x14ac:dyDescent="0.3">
      <c r="A44" s="3">
        <v>90043</v>
      </c>
      <c r="B44" s="3" t="s">
        <v>348</v>
      </c>
      <c r="C44" s="3" t="s">
        <v>349</v>
      </c>
      <c r="D44" s="3">
        <v>90003</v>
      </c>
      <c r="E44" s="8"/>
    </row>
    <row r="45" spans="1:5" ht="15" customHeight="1" x14ac:dyDescent="0.3">
      <c r="A45" s="3">
        <v>90044</v>
      </c>
      <c r="B45" s="3" t="s">
        <v>350</v>
      </c>
      <c r="C45" s="3" t="s">
        <v>351</v>
      </c>
      <c r="D45" s="3">
        <v>90004</v>
      </c>
      <c r="E45" s="8"/>
    </row>
    <row r="46" spans="1:5" ht="15" customHeight="1" x14ac:dyDescent="0.3">
      <c r="A46" s="3">
        <v>90045</v>
      </c>
      <c r="B46" s="3" t="s">
        <v>352</v>
      </c>
      <c r="C46" s="3" t="s">
        <v>353</v>
      </c>
      <c r="D46" s="3">
        <v>90005</v>
      </c>
      <c r="E46" s="8"/>
    </row>
    <row r="47" spans="1:5" ht="15" customHeight="1" x14ac:dyDescent="0.3">
      <c r="A47" s="3">
        <v>90046</v>
      </c>
      <c r="B47" s="3" t="s">
        <v>354</v>
      </c>
      <c r="C47" s="3" t="s">
        <v>355</v>
      </c>
      <c r="D47" s="3">
        <v>90001</v>
      </c>
      <c r="E47" s="8"/>
    </row>
    <row r="48" spans="1:5" ht="15" customHeight="1" x14ac:dyDescent="0.3">
      <c r="A48" s="3">
        <v>90047</v>
      </c>
      <c r="B48" s="3" t="s">
        <v>356</v>
      </c>
      <c r="C48" s="3" t="s">
        <v>357</v>
      </c>
      <c r="D48" s="3">
        <v>90002</v>
      </c>
      <c r="E48" s="8"/>
    </row>
    <row r="49" spans="1:5" ht="15" customHeight="1" x14ac:dyDescent="0.3">
      <c r="A49" s="3">
        <v>90048</v>
      </c>
      <c r="B49" s="3" t="s">
        <v>358</v>
      </c>
      <c r="C49" s="3" t="s">
        <v>359</v>
      </c>
      <c r="D49" s="3">
        <v>90003</v>
      </c>
      <c r="E49" s="8"/>
    </row>
    <row r="50" spans="1:5" ht="15" customHeight="1" x14ac:dyDescent="0.3">
      <c r="A50" s="3">
        <v>90049</v>
      </c>
      <c r="B50" s="3" t="s">
        <v>360</v>
      </c>
      <c r="C50" s="3" t="s">
        <v>361</v>
      </c>
      <c r="D50" s="3">
        <v>90004</v>
      </c>
      <c r="E50" s="8"/>
    </row>
    <row r="51" spans="1:5" ht="15" customHeight="1" x14ac:dyDescent="0.3">
      <c r="A51" s="3">
        <v>90050</v>
      </c>
      <c r="B51" s="3" t="s">
        <v>362</v>
      </c>
      <c r="C51" s="3" t="s">
        <v>363</v>
      </c>
      <c r="D51" s="3">
        <v>90005</v>
      </c>
      <c r="E51" s="8"/>
    </row>
    <row r="52" spans="1:5" ht="15" customHeight="1" x14ac:dyDescent="0.3">
      <c r="A52" s="3">
        <v>90051</v>
      </c>
      <c r="B52" s="3" t="s">
        <v>364</v>
      </c>
      <c r="C52" s="3" t="s">
        <v>365</v>
      </c>
      <c r="D52" s="3">
        <v>90001</v>
      </c>
      <c r="E52" s="8"/>
    </row>
    <row r="53" spans="1:5" ht="15" customHeight="1" x14ac:dyDescent="0.3">
      <c r="A53" s="3">
        <v>90052</v>
      </c>
      <c r="B53" s="3" t="s">
        <v>366</v>
      </c>
      <c r="C53" s="3" t="s">
        <v>367</v>
      </c>
      <c r="D53" s="3">
        <v>90002</v>
      </c>
      <c r="E53" s="8"/>
    </row>
    <row r="54" spans="1:5" ht="15" customHeight="1" x14ac:dyDescent="0.3">
      <c r="A54" s="3">
        <v>90053</v>
      </c>
      <c r="B54" s="3" t="s">
        <v>368</v>
      </c>
      <c r="C54" s="3" t="s">
        <v>369</v>
      </c>
      <c r="D54" s="3">
        <v>90003</v>
      </c>
      <c r="E54" s="8"/>
    </row>
    <row r="55" spans="1:5" ht="15" customHeight="1" x14ac:dyDescent="0.3">
      <c r="A55" s="3">
        <v>90054</v>
      </c>
      <c r="B55" s="3" t="s">
        <v>370</v>
      </c>
      <c r="C55" s="3" t="s">
        <v>371</v>
      </c>
      <c r="D55" s="3">
        <v>90004</v>
      </c>
      <c r="E55" s="8"/>
    </row>
    <row r="56" spans="1:5" ht="15" customHeight="1" x14ac:dyDescent="0.3">
      <c r="A56" s="3">
        <v>90055</v>
      </c>
      <c r="B56" s="3" t="s">
        <v>372</v>
      </c>
      <c r="C56" s="3" t="s">
        <v>373</v>
      </c>
      <c r="D56" s="3">
        <v>90005</v>
      </c>
      <c r="E56" s="8"/>
    </row>
    <row r="57" spans="1:5" ht="15" customHeight="1" x14ac:dyDescent="0.3">
      <c r="A57" s="3">
        <v>90056</v>
      </c>
      <c r="B57" s="3" t="s">
        <v>374</v>
      </c>
      <c r="C57" s="3" t="s">
        <v>375</v>
      </c>
      <c r="D57" s="3">
        <v>90001</v>
      </c>
      <c r="E57" s="8"/>
    </row>
    <row r="58" spans="1:5" ht="15" customHeight="1" x14ac:dyDescent="0.3">
      <c r="A58" s="3">
        <v>90057</v>
      </c>
      <c r="B58" s="3" t="s">
        <v>376</v>
      </c>
      <c r="C58" s="3" t="s">
        <v>377</v>
      </c>
      <c r="D58" s="3">
        <v>90002</v>
      </c>
      <c r="E58" s="8"/>
    </row>
    <row r="59" spans="1:5" ht="15" customHeight="1" x14ac:dyDescent="0.3">
      <c r="A59" s="3">
        <v>90058</v>
      </c>
      <c r="B59" s="3" t="s">
        <v>378</v>
      </c>
      <c r="C59" s="3" t="s">
        <v>379</v>
      </c>
      <c r="D59" s="3">
        <v>90003</v>
      </c>
      <c r="E59" s="8"/>
    </row>
    <row r="60" spans="1:5" ht="15" customHeight="1" x14ac:dyDescent="0.3">
      <c r="A60" s="3">
        <v>90059</v>
      </c>
      <c r="B60" s="3" t="s">
        <v>380</v>
      </c>
      <c r="C60" s="3" t="s">
        <v>381</v>
      </c>
      <c r="D60" s="3">
        <v>90004</v>
      </c>
      <c r="E60" s="8"/>
    </row>
    <row r="61" spans="1:5" ht="15" customHeight="1" x14ac:dyDescent="0.3">
      <c r="A61" s="3">
        <v>90060</v>
      </c>
      <c r="B61" s="3" t="s">
        <v>382</v>
      </c>
      <c r="C61" s="3" t="s">
        <v>383</v>
      </c>
      <c r="D61" s="3">
        <v>90005</v>
      </c>
      <c r="E61" s="8"/>
    </row>
    <row r="62" spans="1:5" ht="15" customHeight="1" x14ac:dyDescent="0.3">
      <c r="A62" s="3">
        <v>90061</v>
      </c>
      <c r="B62" s="3" t="s">
        <v>384</v>
      </c>
      <c r="C62" s="3" t="s">
        <v>385</v>
      </c>
      <c r="D62" s="3">
        <v>90001</v>
      </c>
      <c r="E62" s="8"/>
    </row>
    <row r="63" spans="1:5" ht="15" customHeight="1" x14ac:dyDescent="0.3">
      <c r="A63" s="3">
        <v>90062</v>
      </c>
      <c r="B63" s="3" t="s">
        <v>386</v>
      </c>
      <c r="C63" s="3" t="s">
        <v>387</v>
      </c>
      <c r="D63" s="3">
        <v>90002</v>
      </c>
      <c r="E63" s="8"/>
    </row>
    <row r="64" spans="1:5" ht="15" customHeight="1" x14ac:dyDescent="0.3">
      <c r="A64" s="3">
        <v>90063</v>
      </c>
      <c r="B64" s="3" t="s">
        <v>388</v>
      </c>
      <c r="C64" s="3" t="s">
        <v>389</v>
      </c>
      <c r="D64" s="3">
        <v>90003</v>
      </c>
      <c r="E64" s="8"/>
    </row>
    <row r="65" spans="1:5" ht="15" customHeight="1" x14ac:dyDescent="0.3">
      <c r="A65" s="3">
        <v>90064</v>
      </c>
      <c r="B65" s="3" t="s">
        <v>390</v>
      </c>
      <c r="C65" s="3" t="s">
        <v>391</v>
      </c>
      <c r="D65" s="3">
        <v>90004</v>
      </c>
      <c r="E65" s="8"/>
    </row>
    <row r="66" spans="1:5" ht="15" customHeight="1" x14ac:dyDescent="0.3">
      <c r="A66" s="3">
        <v>90065</v>
      </c>
      <c r="B66" s="3" t="s">
        <v>392</v>
      </c>
      <c r="C66" s="3" t="s">
        <v>393</v>
      </c>
      <c r="D66" s="3">
        <v>90005</v>
      </c>
      <c r="E66" s="8"/>
    </row>
    <row r="67" spans="1:5" ht="15" customHeight="1" x14ac:dyDescent="0.3">
      <c r="A67" s="3">
        <v>90066</v>
      </c>
      <c r="B67" s="3" t="s">
        <v>394</v>
      </c>
      <c r="C67" s="3" t="s">
        <v>395</v>
      </c>
      <c r="D67" s="3">
        <v>90001</v>
      </c>
      <c r="E67" s="8"/>
    </row>
    <row r="68" spans="1:5" ht="15" customHeight="1" x14ac:dyDescent="0.3">
      <c r="A68" s="3">
        <v>90067</v>
      </c>
      <c r="B68" s="3" t="s">
        <v>396</v>
      </c>
      <c r="C68" s="3" t="s">
        <v>397</v>
      </c>
      <c r="D68" s="3">
        <v>90002</v>
      </c>
      <c r="E68" s="8"/>
    </row>
    <row r="69" spans="1:5" ht="15" customHeight="1" x14ac:dyDescent="0.3">
      <c r="A69" s="3">
        <v>90068</v>
      </c>
      <c r="B69" s="3" t="s">
        <v>398</v>
      </c>
      <c r="C69" s="3" t="s">
        <v>399</v>
      </c>
      <c r="D69" s="3">
        <v>90003</v>
      </c>
      <c r="E69" s="8"/>
    </row>
    <row r="70" spans="1:5" ht="15" customHeight="1" x14ac:dyDescent="0.3">
      <c r="A70" s="3">
        <v>90069</v>
      </c>
      <c r="B70" s="3" t="s">
        <v>400</v>
      </c>
      <c r="C70" s="3" t="s">
        <v>401</v>
      </c>
      <c r="D70" s="3">
        <v>90004</v>
      </c>
      <c r="E70" s="8"/>
    </row>
    <row r="71" spans="1:5" ht="15" customHeight="1" x14ac:dyDescent="0.3">
      <c r="A71" s="3">
        <v>90070</v>
      </c>
      <c r="B71" s="3" t="s">
        <v>402</v>
      </c>
      <c r="C71" s="3" t="s">
        <v>403</v>
      </c>
      <c r="D71" s="3">
        <v>90005</v>
      </c>
      <c r="E71" s="8"/>
    </row>
    <row r="72" spans="1:5" ht="15" customHeight="1" x14ac:dyDescent="0.3">
      <c r="A72" s="3">
        <v>90071</v>
      </c>
      <c r="B72" s="3" t="s">
        <v>404</v>
      </c>
      <c r="C72" s="3" t="s">
        <v>405</v>
      </c>
      <c r="D72" s="3">
        <v>90001</v>
      </c>
      <c r="E72" s="8"/>
    </row>
    <row r="73" spans="1:5" ht="15" customHeight="1" x14ac:dyDescent="0.3">
      <c r="A73" s="3">
        <v>90072</v>
      </c>
      <c r="B73" s="3" t="s">
        <v>406</v>
      </c>
      <c r="C73" s="3" t="s">
        <v>407</v>
      </c>
      <c r="D73" s="3">
        <v>90002</v>
      </c>
      <c r="E73" s="8"/>
    </row>
    <row r="74" spans="1:5" ht="15" customHeight="1" x14ac:dyDescent="0.3">
      <c r="A74" s="3">
        <v>90073</v>
      </c>
      <c r="B74" s="3" t="s">
        <v>408</v>
      </c>
      <c r="C74" s="3" t="s">
        <v>409</v>
      </c>
      <c r="D74" s="3">
        <v>90003</v>
      </c>
      <c r="E74" s="8"/>
    </row>
    <row r="75" spans="1:5" ht="15" customHeight="1" x14ac:dyDescent="0.3">
      <c r="A75" s="3">
        <v>90074</v>
      </c>
      <c r="B75" s="3" t="s">
        <v>410</v>
      </c>
      <c r="C75" s="3" t="s">
        <v>411</v>
      </c>
      <c r="D75" s="3">
        <v>90004</v>
      </c>
      <c r="E75" s="8"/>
    </row>
    <row r="76" spans="1:5" ht="15" customHeight="1" x14ac:dyDescent="0.3">
      <c r="A76" s="3">
        <v>90075</v>
      </c>
      <c r="B76" s="3" t="s">
        <v>412</v>
      </c>
      <c r="C76" s="3" t="s">
        <v>413</v>
      </c>
      <c r="D76" s="3">
        <v>90005</v>
      </c>
      <c r="E76" s="8"/>
    </row>
    <row r="77" spans="1:5" ht="15" customHeight="1" x14ac:dyDescent="0.3">
      <c r="A77" s="3">
        <v>90076</v>
      </c>
      <c r="B77" s="3" t="s">
        <v>414</v>
      </c>
      <c r="C77" s="3" t="s">
        <v>415</v>
      </c>
      <c r="D77" s="3">
        <v>90001</v>
      </c>
      <c r="E77" s="8"/>
    </row>
    <row r="78" spans="1:5" ht="15" customHeight="1" x14ac:dyDescent="0.3">
      <c r="A78" s="3">
        <v>90077</v>
      </c>
      <c r="B78" s="3" t="s">
        <v>416</v>
      </c>
      <c r="C78" s="3" t="s">
        <v>417</v>
      </c>
      <c r="D78" s="3">
        <v>90002</v>
      </c>
      <c r="E78" s="8"/>
    </row>
    <row r="79" spans="1:5" ht="15" customHeight="1" x14ac:dyDescent="0.3">
      <c r="A79" s="3">
        <v>90078</v>
      </c>
      <c r="B79" s="3" t="s">
        <v>418</v>
      </c>
      <c r="C79" s="3" t="s">
        <v>419</v>
      </c>
      <c r="D79" s="3">
        <v>90003</v>
      </c>
      <c r="E79" s="8"/>
    </row>
    <row r="80" spans="1:5" ht="15" customHeight="1" x14ac:dyDescent="0.3">
      <c r="A80" s="3">
        <v>90079</v>
      </c>
      <c r="B80" s="3" t="s">
        <v>420</v>
      </c>
      <c r="C80" s="3" t="s">
        <v>421</v>
      </c>
      <c r="D80" s="3">
        <v>90004</v>
      </c>
      <c r="E80" s="8"/>
    </row>
    <row r="81" spans="1:5" ht="15" customHeight="1" x14ac:dyDescent="0.3">
      <c r="A81" s="3">
        <v>90080</v>
      </c>
      <c r="B81" s="3" t="s">
        <v>422</v>
      </c>
      <c r="C81" s="3" t="s">
        <v>423</v>
      </c>
      <c r="D81" s="3">
        <v>90005</v>
      </c>
      <c r="E81" s="8"/>
    </row>
    <row r="82" spans="1:5" ht="15" customHeight="1" x14ac:dyDescent="0.3">
      <c r="A82" s="3">
        <v>90081</v>
      </c>
      <c r="B82" s="3" t="s">
        <v>424</v>
      </c>
      <c r="C82" s="3" t="s">
        <v>425</v>
      </c>
      <c r="D82" s="3">
        <v>90001</v>
      </c>
      <c r="E82" s="8"/>
    </row>
    <row r="83" spans="1:5" ht="15" customHeight="1" x14ac:dyDescent="0.3">
      <c r="A83" s="3">
        <v>90082</v>
      </c>
      <c r="B83" s="3" t="s">
        <v>426</v>
      </c>
      <c r="C83" s="3" t="s">
        <v>427</v>
      </c>
      <c r="D83" s="3">
        <v>90002</v>
      </c>
      <c r="E83" s="8"/>
    </row>
    <row r="84" spans="1:5" ht="15" customHeight="1" x14ac:dyDescent="0.3">
      <c r="A84" s="3">
        <v>90083</v>
      </c>
      <c r="B84" s="3" t="s">
        <v>428</v>
      </c>
      <c r="C84" s="3" t="s">
        <v>429</v>
      </c>
      <c r="D84" s="3">
        <v>90003</v>
      </c>
      <c r="E84" s="8"/>
    </row>
    <row r="85" spans="1:5" ht="15" customHeight="1" x14ac:dyDescent="0.3">
      <c r="A85" s="3">
        <v>90084</v>
      </c>
      <c r="B85" s="3" t="s">
        <v>430</v>
      </c>
      <c r="C85" s="3" t="s">
        <v>431</v>
      </c>
      <c r="D85" s="3">
        <v>90004</v>
      </c>
      <c r="E85" s="8"/>
    </row>
    <row r="86" spans="1:5" ht="15" customHeight="1" x14ac:dyDescent="0.3">
      <c r="A86" s="3">
        <v>90085</v>
      </c>
      <c r="B86" s="3" t="s">
        <v>432</v>
      </c>
      <c r="C86" s="3" t="s">
        <v>433</v>
      </c>
      <c r="D86" s="3">
        <v>90005</v>
      </c>
      <c r="E86" s="8"/>
    </row>
    <row r="87" spans="1:5" ht="15" customHeight="1" x14ac:dyDescent="0.3">
      <c r="A87" s="3">
        <v>90086</v>
      </c>
      <c r="B87" s="3" t="s">
        <v>434</v>
      </c>
      <c r="C87" s="3" t="s">
        <v>435</v>
      </c>
      <c r="D87" s="3">
        <v>90001</v>
      </c>
      <c r="E87" s="8"/>
    </row>
    <row r="88" spans="1:5" ht="15" customHeight="1" x14ac:dyDescent="0.3">
      <c r="A88" s="3">
        <v>90087</v>
      </c>
      <c r="B88" s="3" t="s">
        <v>436</v>
      </c>
      <c r="C88" s="3" t="s">
        <v>437</v>
      </c>
      <c r="D88" s="3">
        <v>90002</v>
      </c>
      <c r="E88" s="8"/>
    </row>
    <row r="89" spans="1:5" ht="15" customHeight="1" x14ac:dyDescent="0.3">
      <c r="A89" s="3">
        <v>90088</v>
      </c>
      <c r="B89" s="3" t="s">
        <v>438</v>
      </c>
      <c r="C89" s="3" t="s">
        <v>439</v>
      </c>
      <c r="D89" s="3">
        <v>90003</v>
      </c>
      <c r="E89" s="8"/>
    </row>
    <row r="90" spans="1:5" ht="15" customHeight="1" x14ac:dyDescent="0.3">
      <c r="A90" s="3">
        <v>90089</v>
      </c>
      <c r="B90" s="3" t="s">
        <v>440</v>
      </c>
      <c r="C90" s="3" t="s">
        <v>441</v>
      </c>
      <c r="D90" s="3">
        <v>90004</v>
      </c>
      <c r="E90" s="8"/>
    </row>
    <row r="91" spans="1:5" ht="15" customHeight="1" x14ac:dyDescent="0.3">
      <c r="A91" s="3">
        <v>90090</v>
      </c>
      <c r="B91" s="3" t="s">
        <v>442</v>
      </c>
      <c r="C91" s="3" t="s">
        <v>443</v>
      </c>
      <c r="D91" s="3">
        <v>90005</v>
      </c>
      <c r="E91" s="8"/>
    </row>
    <row r="92" spans="1:5" ht="15" customHeight="1" x14ac:dyDescent="0.3">
      <c r="A92" s="3">
        <v>90091</v>
      </c>
      <c r="B92" s="3" t="s">
        <v>444</v>
      </c>
      <c r="C92" s="3" t="s">
        <v>445</v>
      </c>
      <c r="D92" s="3">
        <v>90001</v>
      </c>
      <c r="E92" s="8"/>
    </row>
    <row r="93" spans="1:5" ht="15" customHeight="1" x14ac:dyDescent="0.3">
      <c r="A93" s="3">
        <v>90092</v>
      </c>
      <c r="B93" s="3" t="s">
        <v>446</v>
      </c>
      <c r="C93" s="3" t="s">
        <v>447</v>
      </c>
      <c r="D93" s="3">
        <v>90002</v>
      </c>
      <c r="E93" s="8"/>
    </row>
    <row r="94" spans="1:5" ht="15" customHeight="1" x14ac:dyDescent="0.3">
      <c r="A94" s="3">
        <v>90093</v>
      </c>
      <c r="B94" s="3" t="s">
        <v>448</v>
      </c>
      <c r="C94" s="3" t="s">
        <v>449</v>
      </c>
      <c r="D94" s="3">
        <v>90003</v>
      </c>
      <c r="E94" s="8"/>
    </row>
    <row r="95" spans="1:5" ht="15" customHeight="1" x14ac:dyDescent="0.3">
      <c r="A95" s="3">
        <v>90094</v>
      </c>
      <c r="B95" s="3" t="s">
        <v>450</v>
      </c>
      <c r="C95" s="3" t="s">
        <v>451</v>
      </c>
      <c r="D95" s="3">
        <v>90004</v>
      </c>
      <c r="E95" s="8"/>
    </row>
    <row r="96" spans="1:5" ht="15" customHeight="1" x14ac:dyDescent="0.3">
      <c r="A96" s="3">
        <v>90095</v>
      </c>
      <c r="B96" s="3" t="s">
        <v>452</v>
      </c>
      <c r="C96" s="3" t="s">
        <v>453</v>
      </c>
      <c r="D96" s="3">
        <v>90005</v>
      </c>
      <c r="E96" s="8"/>
    </row>
    <row r="97" spans="1:5" ht="15" customHeight="1" x14ac:dyDescent="0.3">
      <c r="A97" s="3">
        <v>90096</v>
      </c>
      <c r="B97" s="3" t="s">
        <v>454</v>
      </c>
      <c r="C97" s="3" t="s">
        <v>455</v>
      </c>
      <c r="D97" s="3">
        <v>90001</v>
      </c>
      <c r="E97" s="8"/>
    </row>
    <row r="98" spans="1:5" ht="15" customHeight="1" x14ac:dyDescent="0.3">
      <c r="A98" s="3">
        <v>90097</v>
      </c>
      <c r="B98" s="3" t="s">
        <v>456</v>
      </c>
      <c r="C98" s="3" t="s">
        <v>457</v>
      </c>
      <c r="D98" s="3">
        <v>90002</v>
      </c>
      <c r="E98" s="8"/>
    </row>
    <row r="99" spans="1:5" ht="15" customHeight="1" x14ac:dyDescent="0.3">
      <c r="A99" s="3">
        <v>90098</v>
      </c>
      <c r="B99" s="3" t="s">
        <v>458</v>
      </c>
      <c r="C99" s="3" t="s">
        <v>459</v>
      </c>
      <c r="D99" s="3">
        <v>90003</v>
      </c>
      <c r="E99" s="8"/>
    </row>
    <row r="100" spans="1:5" ht="15" customHeight="1" x14ac:dyDescent="0.3">
      <c r="A100" s="3">
        <v>90099</v>
      </c>
      <c r="B100" s="3" t="s">
        <v>460</v>
      </c>
      <c r="C100" s="3" t="s">
        <v>461</v>
      </c>
      <c r="D100" s="3">
        <v>90004</v>
      </c>
      <c r="E100" s="8"/>
    </row>
    <row r="101" spans="1:5" ht="15" customHeight="1" x14ac:dyDescent="0.3">
      <c r="A101" s="3">
        <v>90100</v>
      </c>
      <c r="B101" s="3" t="s">
        <v>462</v>
      </c>
      <c r="C101" s="3" t="s">
        <v>463</v>
      </c>
      <c r="D101" s="3">
        <v>90005</v>
      </c>
      <c r="E101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1"/>
  <sheetViews>
    <sheetView showGridLines="0" zoomScaleNormal="100" workbookViewId="0">
      <selection sqref="A1:F101"/>
    </sheetView>
  </sheetViews>
  <sheetFormatPr defaultColWidth="8.6640625" defaultRowHeight="14.4" x14ac:dyDescent="0.3"/>
  <cols>
    <col min="1" max="1" width="12" style="1" customWidth="1"/>
    <col min="2" max="3" width="25" style="1" customWidth="1"/>
  </cols>
  <sheetData>
    <row r="1" spans="1:6" ht="19.5" customHeight="1" x14ac:dyDescent="0.3">
      <c r="A1" s="7" t="s">
        <v>14</v>
      </c>
      <c r="B1" s="7" t="s">
        <v>42</v>
      </c>
      <c r="C1" s="7" t="s">
        <v>43</v>
      </c>
      <c r="D1" s="8"/>
      <c r="E1" s="8"/>
      <c r="F1" s="8"/>
    </row>
    <row r="2" spans="1:6" ht="15" customHeight="1" x14ac:dyDescent="0.3">
      <c r="A2" s="3">
        <v>1</v>
      </c>
      <c r="B2" s="3" t="s">
        <v>48</v>
      </c>
      <c r="C2" s="3" t="s">
        <v>464</v>
      </c>
      <c r="D2" s="8"/>
      <c r="E2" s="8"/>
      <c r="F2" s="8"/>
    </row>
    <row r="3" spans="1:6" ht="15" customHeight="1" x14ac:dyDescent="0.3">
      <c r="A3" s="3">
        <v>2</v>
      </c>
      <c r="B3" s="3" t="s">
        <v>53</v>
      </c>
      <c r="C3" s="3" t="s">
        <v>54</v>
      </c>
      <c r="D3" s="8"/>
      <c r="E3" s="8"/>
      <c r="F3" s="8"/>
    </row>
    <row r="4" spans="1:6" ht="15" customHeight="1" x14ac:dyDescent="0.3">
      <c r="A4" s="3">
        <v>3</v>
      </c>
      <c r="B4" s="3" t="s">
        <v>465</v>
      </c>
      <c r="C4" s="3" t="s">
        <v>466</v>
      </c>
      <c r="D4" s="8"/>
      <c r="E4" s="8"/>
      <c r="F4" s="8"/>
    </row>
    <row r="5" spans="1:6" ht="15" customHeight="1" x14ac:dyDescent="0.3">
      <c r="A5" s="3">
        <v>4</v>
      </c>
      <c r="B5" s="3" t="s">
        <v>467</v>
      </c>
      <c r="C5" s="3" t="s">
        <v>466</v>
      </c>
      <c r="D5" s="8"/>
      <c r="E5" s="8"/>
      <c r="F5" s="8"/>
    </row>
    <row r="6" spans="1:6" ht="15" customHeight="1" x14ac:dyDescent="0.3">
      <c r="A6" s="3">
        <v>5</v>
      </c>
      <c r="B6" s="3" t="s">
        <v>468</v>
      </c>
      <c r="C6" s="3" t="s">
        <v>54</v>
      </c>
      <c r="D6" s="8"/>
      <c r="E6" s="8"/>
      <c r="F6" s="8"/>
    </row>
    <row r="7" spans="1:6" ht="15" customHeight="1" x14ac:dyDescent="0.3">
      <c r="A7" s="3">
        <v>6</v>
      </c>
      <c r="B7" s="3" t="s">
        <v>469</v>
      </c>
      <c r="C7" s="3" t="s">
        <v>466</v>
      </c>
      <c r="D7" s="8"/>
      <c r="E7" s="8"/>
      <c r="F7" s="8"/>
    </row>
    <row r="8" spans="1:6" ht="15" customHeight="1" x14ac:dyDescent="0.3">
      <c r="A8" s="3">
        <v>7</v>
      </c>
      <c r="B8" s="3" t="s">
        <v>470</v>
      </c>
      <c r="C8" s="3" t="s">
        <v>466</v>
      </c>
      <c r="D8" s="8"/>
      <c r="E8" s="8"/>
      <c r="F8" s="8"/>
    </row>
    <row r="9" spans="1:6" ht="15" customHeight="1" x14ac:dyDescent="0.3">
      <c r="A9" s="3">
        <v>8</v>
      </c>
      <c r="B9" s="3" t="s">
        <v>471</v>
      </c>
      <c r="C9" s="3" t="s">
        <v>472</v>
      </c>
      <c r="D9" s="8"/>
      <c r="E9" s="8"/>
      <c r="F9" s="8"/>
    </row>
    <row r="10" spans="1:6" ht="15" customHeight="1" x14ac:dyDescent="0.3">
      <c r="A10" s="3">
        <v>9</v>
      </c>
      <c r="B10" s="3" t="s">
        <v>473</v>
      </c>
      <c r="C10" s="3" t="s">
        <v>466</v>
      </c>
      <c r="D10" s="8"/>
      <c r="E10" s="8"/>
      <c r="F10" s="8"/>
    </row>
    <row r="11" spans="1:6" ht="15" customHeight="1" x14ac:dyDescent="0.3">
      <c r="A11" s="3">
        <v>10</v>
      </c>
      <c r="B11" s="3" t="s">
        <v>474</v>
      </c>
      <c r="C11" s="3" t="s">
        <v>466</v>
      </c>
      <c r="D11" s="8"/>
      <c r="E11" s="8"/>
      <c r="F11" s="8"/>
    </row>
    <row r="12" spans="1:6" ht="15" customHeight="1" x14ac:dyDescent="0.3">
      <c r="A12" s="3">
        <v>11</v>
      </c>
      <c r="B12" s="3" t="s">
        <v>475</v>
      </c>
      <c r="C12" s="3" t="s">
        <v>466</v>
      </c>
      <c r="D12" s="8"/>
      <c r="E12" s="8"/>
      <c r="F12" s="8"/>
    </row>
    <row r="13" spans="1:6" ht="15" customHeight="1" x14ac:dyDescent="0.3">
      <c r="A13" s="3">
        <v>12</v>
      </c>
      <c r="B13" s="3" t="s">
        <v>476</v>
      </c>
      <c r="C13" s="3" t="s">
        <v>466</v>
      </c>
      <c r="D13" s="8"/>
      <c r="E13" s="8"/>
      <c r="F13" s="8"/>
    </row>
    <row r="14" spans="1:6" ht="15" customHeight="1" x14ac:dyDescent="0.3">
      <c r="A14" s="3">
        <v>13</v>
      </c>
      <c r="B14" s="3" t="s">
        <v>477</v>
      </c>
      <c r="C14" s="3" t="s">
        <v>466</v>
      </c>
      <c r="D14" s="8"/>
      <c r="E14" s="8"/>
      <c r="F14" s="8"/>
    </row>
    <row r="15" spans="1:6" ht="15" customHeight="1" x14ac:dyDescent="0.3">
      <c r="A15" s="3">
        <v>14</v>
      </c>
      <c r="B15" s="3" t="s">
        <v>478</v>
      </c>
      <c r="C15" s="3" t="s">
        <v>466</v>
      </c>
      <c r="D15" s="8"/>
      <c r="E15" s="8"/>
      <c r="F15" s="8"/>
    </row>
    <row r="16" spans="1:6" ht="15" customHeight="1" x14ac:dyDescent="0.3">
      <c r="A16" s="3">
        <v>15</v>
      </c>
      <c r="B16" s="3" t="s">
        <v>479</v>
      </c>
      <c r="C16" s="3" t="s">
        <v>466</v>
      </c>
      <c r="D16" s="8"/>
      <c r="E16" s="8"/>
      <c r="F16" s="8"/>
    </row>
    <row r="17" spans="1:6" ht="15" customHeight="1" x14ac:dyDescent="0.3">
      <c r="A17" s="3">
        <v>16</v>
      </c>
      <c r="B17" s="3" t="s">
        <v>480</v>
      </c>
      <c r="C17" s="3" t="s">
        <v>466</v>
      </c>
      <c r="D17" s="8"/>
      <c r="E17" s="8"/>
      <c r="F17" s="8"/>
    </row>
    <row r="18" spans="1:6" ht="15" customHeight="1" x14ac:dyDescent="0.3">
      <c r="A18" s="3">
        <v>17</v>
      </c>
      <c r="B18" s="3" t="s">
        <v>481</v>
      </c>
      <c r="C18" s="3" t="s">
        <v>54</v>
      </c>
      <c r="D18" s="8"/>
      <c r="E18" s="8"/>
      <c r="F18" s="8"/>
    </row>
    <row r="19" spans="1:6" ht="15" customHeight="1" x14ac:dyDescent="0.3">
      <c r="A19" s="3">
        <v>18</v>
      </c>
      <c r="B19" s="3" t="s">
        <v>482</v>
      </c>
      <c r="C19" s="3" t="s">
        <v>483</v>
      </c>
      <c r="D19" s="8"/>
      <c r="E19" s="8"/>
      <c r="F19" s="8"/>
    </row>
    <row r="20" spans="1:6" ht="15" customHeight="1" x14ac:dyDescent="0.3">
      <c r="A20" s="3">
        <v>19</v>
      </c>
      <c r="B20" s="3" t="s">
        <v>484</v>
      </c>
      <c r="C20" s="3" t="s">
        <v>485</v>
      </c>
      <c r="D20" s="8"/>
      <c r="E20" s="8"/>
      <c r="F20" s="8"/>
    </row>
    <row r="21" spans="1:6" ht="15" customHeight="1" x14ac:dyDescent="0.3">
      <c r="A21" s="3">
        <v>20</v>
      </c>
      <c r="B21" s="3" t="s">
        <v>486</v>
      </c>
      <c r="C21" s="3" t="s">
        <v>54</v>
      </c>
      <c r="D21" s="8"/>
      <c r="E21" s="8"/>
      <c r="F21" s="8"/>
    </row>
    <row r="22" spans="1:6" ht="15" customHeight="1" x14ac:dyDescent="0.3">
      <c r="A22" s="3">
        <v>21</v>
      </c>
      <c r="B22" s="3" t="s">
        <v>487</v>
      </c>
      <c r="C22" s="3" t="s">
        <v>466</v>
      </c>
      <c r="D22" s="8"/>
      <c r="E22" s="8"/>
      <c r="F22" s="8"/>
    </row>
    <row r="23" spans="1:6" ht="15" customHeight="1" x14ac:dyDescent="0.3">
      <c r="A23" s="3">
        <v>22</v>
      </c>
      <c r="B23" s="3" t="s">
        <v>488</v>
      </c>
      <c r="C23" s="3" t="s">
        <v>466</v>
      </c>
      <c r="D23" s="8"/>
      <c r="E23" s="8"/>
      <c r="F23" s="8"/>
    </row>
    <row r="24" spans="1:6" ht="15" customHeight="1" x14ac:dyDescent="0.3">
      <c r="A24" s="3">
        <v>23</v>
      </c>
      <c r="B24" s="3" t="s">
        <v>489</v>
      </c>
      <c r="C24" s="3" t="s">
        <v>466</v>
      </c>
      <c r="D24" s="8"/>
      <c r="E24" s="8"/>
      <c r="F24" s="8"/>
    </row>
    <row r="25" spans="1:6" ht="15" customHeight="1" x14ac:dyDescent="0.3">
      <c r="A25" s="3">
        <v>24</v>
      </c>
      <c r="B25" s="3" t="s">
        <v>490</v>
      </c>
      <c r="C25" s="3" t="s">
        <v>466</v>
      </c>
      <c r="D25" s="8"/>
      <c r="E25" s="8"/>
      <c r="F25" s="8"/>
    </row>
    <row r="26" spans="1:6" ht="15" customHeight="1" x14ac:dyDescent="0.3">
      <c r="A26" s="3">
        <v>25</v>
      </c>
      <c r="B26" s="3" t="s">
        <v>491</v>
      </c>
      <c r="C26" s="3" t="s">
        <v>466</v>
      </c>
      <c r="D26" s="8"/>
      <c r="E26" s="8"/>
      <c r="F26" s="8"/>
    </row>
    <row r="27" spans="1:6" ht="15" customHeight="1" x14ac:dyDescent="0.3">
      <c r="A27" s="3">
        <v>26</v>
      </c>
      <c r="B27" s="3" t="s">
        <v>492</v>
      </c>
      <c r="C27" s="3" t="s">
        <v>466</v>
      </c>
      <c r="D27" s="8"/>
      <c r="E27" s="8"/>
      <c r="F27" s="8"/>
    </row>
    <row r="28" spans="1:6" ht="15" customHeight="1" x14ac:dyDescent="0.3">
      <c r="A28" s="3">
        <v>27</v>
      </c>
      <c r="B28" s="3" t="s">
        <v>493</v>
      </c>
      <c r="C28" s="3" t="s">
        <v>466</v>
      </c>
      <c r="D28" s="8"/>
      <c r="E28" s="8"/>
      <c r="F28" s="8"/>
    </row>
    <row r="29" spans="1:6" ht="15" customHeight="1" x14ac:dyDescent="0.3">
      <c r="A29" s="3">
        <v>28</v>
      </c>
      <c r="B29" s="3" t="s">
        <v>494</v>
      </c>
      <c r="C29" s="3" t="s">
        <v>466</v>
      </c>
      <c r="D29" s="8"/>
      <c r="E29" s="8"/>
      <c r="F29" s="8"/>
    </row>
    <row r="30" spans="1:6" ht="15" customHeight="1" x14ac:dyDescent="0.3">
      <c r="A30" s="3">
        <v>29</v>
      </c>
      <c r="B30" s="3" t="s">
        <v>495</v>
      </c>
      <c r="C30" s="3" t="s">
        <v>466</v>
      </c>
      <c r="D30" s="8"/>
      <c r="E30" s="8"/>
      <c r="F30" s="8"/>
    </row>
    <row r="31" spans="1:6" ht="15" customHeight="1" x14ac:dyDescent="0.3">
      <c r="A31" s="3">
        <v>30</v>
      </c>
      <c r="B31" s="3" t="s">
        <v>496</v>
      </c>
      <c r="C31" s="3" t="s">
        <v>466</v>
      </c>
      <c r="D31" s="8"/>
      <c r="E31" s="8"/>
      <c r="F31" s="8"/>
    </row>
    <row r="32" spans="1:6" ht="15" customHeight="1" x14ac:dyDescent="0.3">
      <c r="A32" s="3">
        <v>31</v>
      </c>
      <c r="B32" s="3" t="s">
        <v>497</v>
      </c>
      <c r="C32" s="3" t="s">
        <v>466</v>
      </c>
      <c r="D32" s="8"/>
      <c r="E32" s="8"/>
      <c r="F32" s="8"/>
    </row>
    <row r="33" spans="1:6" ht="15" customHeight="1" x14ac:dyDescent="0.3">
      <c r="A33" s="3">
        <v>32</v>
      </c>
      <c r="B33" s="3" t="s">
        <v>498</v>
      </c>
      <c r="C33" s="3" t="s">
        <v>466</v>
      </c>
      <c r="D33" s="8"/>
      <c r="E33" s="8"/>
      <c r="F33" s="8"/>
    </row>
    <row r="34" spans="1:6" ht="15" customHeight="1" x14ac:dyDescent="0.3">
      <c r="A34" s="3">
        <v>33</v>
      </c>
      <c r="B34" s="3" t="s">
        <v>499</v>
      </c>
      <c r="C34" s="3" t="s">
        <v>466</v>
      </c>
      <c r="D34" s="8"/>
      <c r="E34" s="8"/>
      <c r="F34" s="8"/>
    </row>
    <row r="35" spans="1:6" ht="15" customHeight="1" x14ac:dyDescent="0.3">
      <c r="A35" s="3">
        <v>34</v>
      </c>
      <c r="B35" s="3" t="s">
        <v>500</v>
      </c>
      <c r="C35" s="3" t="s">
        <v>466</v>
      </c>
      <c r="D35" s="8"/>
      <c r="E35" s="8"/>
      <c r="F35" s="8"/>
    </row>
    <row r="36" spans="1:6" ht="15" customHeight="1" x14ac:dyDescent="0.3">
      <c r="A36" s="3">
        <v>35</v>
      </c>
      <c r="B36" s="3" t="s">
        <v>501</v>
      </c>
      <c r="C36" s="3" t="s">
        <v>466</v>
      </c>
      <c r="D36" s="8"/>
      <c r="E36" s="8"/>
      <c r="F36" s="8"/>
    </row>
    <row r="37" spans="1:6" ht="15" customHeight="1" x14ac:dyDescent="0.3">
      <c r="A37" s="3">
        <v>36</v>
      </c>
      <c r="B37" s="3" t="s">
        <v>502</v>
      </c>
      <c r="C37" s="3" t="s">
        <v>466</v>
      </c>
      <c r="D37" s="8"/>
      <c r="E37" s="8"/>
      <c r="F37" s="8"/>
    </row>
    <row r="38" spans="1:6" ht="15" customHeight="1" x14ac:dyDescent="0.3">
      <c r="A38" s="3">
        <v>37</v>
      </c>
      <c r="B38" s="3" t="s">
        <v>503</v>
      </c>
      <c r="C38" s="3" t="s">
        <v>466</v>
      </c>
      <c r="D38" s="8"/>
      <c r="E38" s="8"/>
      <c r="F38" s="8"/>
    </row>
    <row r="39" spans="1:6" ht="15" customHeight="1" x14ac:dyDescent="0.3">
      <c r="A39" s="3">
        <v>38</v>
      </c>
      <c r="B39" s="3" t="s">
        <v>504</v>
      </c>
      <c r="C39" s="3" t="s">
        <v>466</v>
      </c>
      <c r="D39" s="8"/>
      <c r="E39" s="8"/>
      <c r="F39" s="8"/>
    </row>
    <row r="40" spans="1:6" ht="15" customHeight="1" x14ac:dyDescent="0.3">
      <c r="A40" s="3">
        <v>39</v>
      </c>
      <c r="B40" s="3" t="s">
        <v>505</v>
      </c>
      <c r="C40" s="3" t="s">
        <v>466</v>
      </c>
      <c r="D40" s="8"/>
      <c r="E40" s="8"/>
      <c r="F40" s="8"/>
    </row>
    <row r="41" spans="1:6" ht="15" customHeight="1" x14ac:dyDescent="0.3">
      <c r="A41" s="3">
        <v>40</v>
      </c>
      <c r="B41" s="3" t="s">
        <v>506</v>
      </c>
      <c r="C41" s="3" t="s">
        <v>466</v>
      </c>
      <c r="D41" s="8"/>
      <c r="E41" s="8"/>
      <c r="F41" s="8"/>
    </row>
    <row r="42" spans="1:6" ht="15" customHeight="1" x14ac:dyDescent="0.3">
      <c r="A42" s="3">
        <v>41</v>
      </c>
      <c r="B42" s="3" t="s">
        <v>507</v>
      </c>
      <c r="C42" s="3" t="s">
        <v>466</v>
      </c>
      <c r="D42" s="8"/>
      <c r="E42" s="8"/>
      <c r="F42" s="8"/>
    </row>
    <row r="43" spans="1:6" ht="15" customHeight="1" x14ac:dyDescent="0.3">
      <c r="A43" s="3">
        <v>42</v>
      </c>
      <c r="B43" s="3" t="s">
        <v>508</v>
      </c>
      <c r="C43" s="3" t="s">
        <v>466</v>
      </c>
      <c r="D43" s="8"/>
      <c r="E43" s="8"/>
      <c r="F43" s="8"/>
    </row>
    <row r="44" spans="1:6" ht="15" customHeight="1" x14ac:dyDescent="0.3">
      <c r="A44" s="3">
        <v>43</v>
      </c>
      <c r="B44" s="3" t="s">
        <v>509</v>
      </c>
      <c r="C44" s="3" t="s">
        <v>466</v>
      </c>
      <c r="D44" s="8"/>
      <c r="E44" s="8"/>
      <c r="F44" s="8"/>
    </row>
    <row r="45" spans="1:6" ht="15" customHeight="1" x14ac:dyDescent="0.3">
      <c r="A45" s="3">
        <v>44</v>
      </c>
      <c r="B45" s="3" t="s">
        <v>510</v>
      </c>
      <c r="C45" s="3" t="s">
        <v>466</v>
      </c>
      <c r="D45" s="8"/>
      <c r="E45" s="8"/>
      <c r="F45" s="8"/>
    </row>
    <row r="46" spans="1:6" ht="15" customHeight="1" x14ac:dyDescent="0.3">
      <c r="A46" s="3">
        <v>45</v>
      </c>
      <c r="B46" s="3" t="s">
        <v>511</v>
      </c>
      <c r="C46" s="3" t="s">
        <v>466</v>
      </c>
      <c r="D46" s="8"/>
      <c r="E46" s="8"/>
      <c r="F46" s="8"/>
    </row>
    <row r="47" spans="1:6" ht="15" customHeight="1" x14ac:dyDescent="0.3">
      <c r="A47" s="3">
        <v>46</v>
      </c>
      <c r="B47" s="3" t="s">
        <v>512</v>
      </c>
      <c r="C47" s="3" t="s">
        <v>466</v>
      </c>
      <c r="D47" s="8"/>
      <c r="E47" s="8"/>
      <c r="F47" s="8"/>
    </row>
    <row r="48" spans="1:6" ht="15" customHeight="1" x14ac:dyDescent="0.3">
      <c r="A48" s="3">
        <v>47</v>
      </c>
      <c r="B48" s="3" t="s">
        <v>513</v>
      </c>
      <c r="C48" s="3" t="s">
        <v>466</v>
      </c>
      <c r="D48" s="8"/>
      <c r="E48" s="8"/>
      <c r="F48" s="8"/>
    </row>
    <row r="49" spans="1:6" ht="15" customHeight="1" x14ac:dyDescent="0.3">
      <c r="A49" s="3">
        <v>48</v>
      </c>
      <c r="B49" s="3" t="s">
        <v>514</v>
      </c>
      <c r="C49" s="3" t="s">
        <v>466</v>
      </c>
      <c r="D49" s="8"/>
      <c r="E49" s="8"/>
      <c r="F49" s="8"/>
    </row>
    <row r="50" spans="1:6" ht="15" customHeight="1" x14ac:dyDescent="0.3">
      <c r="A50" s="3">
        <v>49</v>
      </c>
      <c r="B50" s="3" t="s">
        <v>515</v>
      </c>
      <c r="C50" s="3" t="s">
        <v>466</v>
      </c>
      <c r="D50" s="8"/>
      <c r="E50" s="8"/>
      <c r="F50" s="8"/>
    </row>
    <row r="51" spans="1:6" ht="15" customHeight="1" x14ac:dyDescent="0.3">
      <c r="A51" s="3">
        <v>50</v>
      </c>
      <c r="B51" s="3" t="s">
        <v>516</v>
      </c>
      <c r="C51" s="3" t="s">
        <v>466</v>
      </c>
      <c r="D51" s="8"/>
      <c r="E51" s="8"/>
      <c r="F51" s="8"/>
    </row>
    <row r="52" spans="1:6" ht="15" customHeight="1" x14ac:dyDescent="0.3">
      <c r="A52" s="3">
        <v>51</v>
      </c>
      <c r="B52" s="3" t="s">
        <v>517</v>
      </c>
      <c r="C52" s="3" t="s">
        <v>466</v>
      </c>
      <c r="D52" s="8"/>
      <c r="E52" s="8"/>
      <c r="F52" s="8"/>
    </row>
    <row r="53" spans="1:6" ht="15" customHeight="1" x14ac:dyDescent="0.3">
      <c r="A53" s="3">
        <v>52</v>
      </c>
      <c r="B53" s="3" t="s">
        <v>518</v>
      </c>
      <c r="C53" s="3" t="s">
        <v>466</v>
      </c>
      <c r="D53" s="8"/>
      <c r="E53" s="8"/>
      <c r="F53" s="8"/>
    </row>
    <row r="54" spans="1:6" ht="15" customHeight="1" x14ac:dyDescent="0.3">
      <c r="A54" s="3">
        <v>53</v>
      </c>
      <c r="B54" s="3" t="s">
        <v>519</v>
      </c>
      <c r="C54" s="3" t="s">
        <v>466</v>
      </c>
      <c r="D54" s="8"/>
      <c r="E54" s="8"/>
      <c r="F54" s="8"/>
    </row>
    <row r="55" spans="1:6" ht="15" customHeight="1" x14ac:dyDescent="0.3">
      <c r="A55" s="3">
        <v>54</v>
      </c>
      <c r="B55" s="3" t="s">
        <v>520</v>
      </c>
      <c r="C55" s="3" t="s">
        <v>466</v>
      </c>
      <c r="D55" s="8"/>
      <c r="E55" s="8"/>
      <c r="F55" s="8"/>
    </row>
    <row r="56" spans="1:6" ht="15" customHeight="1" x14ac:dyDescent="0.3">
      <c r="A56" s="3">
        <v>55</v>
      </c>
      <c r="B56" s="3" t="s">
        <v>521</v>
      </c>
      <c r="C56" s="3" t="s">
        <v>466</v>
      </c>
      <c r="D56" s="8"/>
      <c r="E56" s="8"/>
      <c r="F56" s="8"/>
    </row>
    <row r="57" spans="1:6" ht="15" customHeight="1" x14ac:dyDescent="0.3">
      <c r="A57" s="3">
        <v>56</v>
      </c>
      <c r="B57" s="3" t="s">
        <v>522</v>
      </c>
      <c r="C57" s="3" t="s">
        <v>466</v>
      </c>
      <c r="D57" s="8"/>
      <c r="E57" s="8"/>
      <c r="F57" s="8"/>
    </row>
    <row r="58" spans="1:6" ht="15" customHeight="1" x14ac:dyDescent="0.3">
      <c r="A58" s="3">
        <v>57</v>
      </c>
      <c r="B58" s="3" t="s">
        <v>523</v>
      </c>
      <c r="C58" s="3" t="s">
        <v>466</v>
      </c>
      <c r="D58" s="8"/>
      <c r="E58" s="8"/>
      <c r="F58" s="8"/>
    </row>
    <row r="59" spans="1:6" ht="15" customHeight="1" x14ac:dyDescent="0.3">
      <c r="A59" s="3">
        <v>58</v>
      </c>
      <c r="B59" s="3" t="s">
        <v>524</v>
      </c>
      <c r="C59" s="3" t="s">
        <v>466</v>
      </c>
      <c r="D59" s="8"/>
      <c r="E59" s="8"/>
      <c r="F59" s="8"/>
    </row>
    <row r="60" spans="1:6" ht="15" customHeight="1" x14ac:dyDescent="0.3">
      <c r="A60" s="3">
        <v>59</v>
      </c>
      <c r="B60" s="3" t="s">
        <v>525</v>
      </c>
      <c r="C60" s="3" t="s">
        <v>466</v>
      </c>
      <c r="D60" s="8"/>
      <c r="E60" s="8"/>
      <c r="F60" s="8"/>
    </row>
    <row r="61" spans="1:6" ht="15" customHeight="1" x14ac:dyDescent="0.3">
      <c r="A61" s="3">
        <v>60</v>
      </c>
      <c r="B61" s="3" t="s">
        <v>526</v>
      </c>
      <c r="C61" s="3" t="s">
        <v>466</v>
      </c>
      <c r="D61" s="8"/>
      <c r="E61" s="8"/>
      <c r="F61" s="8"/>
    </row>
    <row r="62" spans="1:6" ht="15" customHeight="1" x14ac:dyDescent="0.3">
      <c r="A62" s="3">
        <v>61</v>
      </c>
      <c r="B62" s="3" t="s">
        <v>527</v>
      </c>
      <c r="C62" s="3" t="s">
        <v>466</v>
      </c>
      <c r="D62" s="8"/>
      <c r="E62" s="8"/>
      <c r="F62" s="8"/>
    </row>
    <row r="63" spans="1:6" ht="15" customHeight="1" x14ac:dyDescent="0.3">
      <c r="A63" s="3">
        <v>62</v>
      </c>
      <c r="B63" s="3" t="s">
        <v>528</v>
      </c>
      <c r="C63" s="3" t="s">
        <v>466</v>
      </c>
      <c r="D63" s="8"/>
      <c r="E63" s="8"/>
      <c r="F63" s="8"/>
    </row>
    <row r="64" spans="1:6" ht="15" customHeight="1" x14ac:dyDescent="0.3">
      <c r="A64" s="3">
        <v>63</v>
      </c>
      <c r="B64" s="3" t="s">
        <v>529</v>
      </c>
      <c r="C64" s="3" t="s">
        <v>466</v>
      </c>
      <c r="D64" s="8"/>
      <c r="E64" s="8"/>
      <c r="F64" s="8"/>
    </row>
    <row r="65" spans="1:6" ht="15" customHeight="1" x14ac:dyDescent="0.3">
      <c r="A65" s="3">
        <v>64</v>
      </c>
      <c r="B65" s="3" t="s">
        <v>530</v>
      </c>
      <c r="C65" s="3" t="s">
        <v>466</v>
      </c>
      <c r="D65" s="8"/>
      <c r="E65" s="8"/>
      <c r="F65" s="8"/>
    </row>
    <row r="66" spans="1:6" ht="15" customHeight="1" x14ac:dyDescent="0.3">
      <c r="A66" s="3">
        <v>65</v>
      </c>
      <c r="B66" s="3" t="s">
        <v>531</v>
      </c>
      <c r="C66" s="3" t="s">
        <v>466</v>
      </c>
      <c r="D66" s="8"/>
      <c r="E66" s="8"/>
      <c r="F66" s="8"/>
    </row>
    <row r="67" spans="1:6" ht="15" customHeight="1" x14ac:dyDescent="0.3">
      <c r="A67" s="3">
        <v>66</v>
      </c>
      <c r="B67" s="3" t="s">
        <v>532</v>
      </c>
      <c r="C67" s="3" t="s">
        <v>466</v>
      </c>
      <c r="D67" s="8"/>
      <c r="E67" s="8"/>
      <c r="F67" s="8"/>
    </row>
    <row r="68" spans="1:6" ht="15" customHeight="1" x14ac:dyDescent="0.3">
      <c r="A68" s="3">
        <v>67</v>
      </c>
      <c r="B68" s="3" t="s">
        <v>533</v>
      </c>
      <c r="C68" s="3" t="s">
        <v>466</v>
      </c>
      <c r="D68" s="8"/>
      <c r="E68" s="8"/>
      <c r="F68" s="8"/>
    </row>
    <row r="69" spans="1:6" ht="15" customHeight="1" x14ac:dyDescent="0.3">
      <c r="A69" s="3">
        <v>68</v>
      </c>
      <c r="B69" s="3" t="s">
        <v>534</v>
      </c>
      <c r="C69" s="3" t="s">
        <v>466</v>
      </c>
      <c r="D69" s="8"/>
      <c r="E69" s="8"/>
      <c r="F69" s="8"/>
    </row>
    <row r="70" spans="1:6" ht="15" customHeight="1" x14ac:dyDescent="0.3">
      <c r="A70" s="3">
        <v>69</v>
      </c>
      <c r="B70" s="3" t="s">
        <v>535</v>
      </c>
      <c r="C70" s="3" t="s">
        <v>466</v>
      </c>
      <c r="D70" s="8"/>
      <c r="E70" s="8"/>
      <c r="F70" s="8"/>
    </row>
    <row r="71" spans="1:6" ht="15" customHeight="1" x14ac:dyDescent="0.3">
      <c r="A71" s="3">
        <v>70</v>
      </c>
      <c r="B71" s="3" t="s">
        <v>536</v>
      </c>
      <c r="C71" s="3" t="s">
        <v>466</v>
      </c>
      <c r="D71" s="8"/>
      <c r="E71" s="8"/>
      <c r="F71" s="8"/>
    </row>
    <row r="72" spans="1:6" ht="15" customHeight="1" x14ac:dyDescent="0.3">
      <c r="A72" s="3">
        <v>71</v>
      </c>
      <c r="B72" s="3" t="s">
        <v>537</v>
      </c>
      <c r="C72" s="3" t="s">
        <v>466</v>
      </c>
      <c r="D72" s="8"/>
      <c r="E72" s="8"/>
      <c r="F72" s="8"/>
    </row>
    <row r="73" spans="1:6" ht="15" customHeight="1" x14ac:dyDescent="0.3">
      <c r="A73" s="3">
        <v>72</v>
      </c>
      <c r="B73" s="3" t="s">
        <v>538</v>
      </c>
      <c r="C73" s="3" t="s">
        <v>466</v>
      </c>
      <c r="D73" s="8"/>
      <c r="E73" s="8"/>
      <c r="F73" s="8"/>
    </row>
    <row r="74" spans="1:6" ht="15" customHeight="1" x14ac:dyDescent="0.3">
      <c r="A74" s="3">
        <v>73</v>
      </c>
      <c r="B74" s="3" t="s">
        <v>539</v>
      </c>
      <c r="C74" s="3" t="s">
        <v>466</v>
      </c>
      <c r="D74" s="8"/>
      <c r="E74" s="8"/>
      <c r="F74" s="8"/>
    </row>
    <row r="75" spans="1:6" ht="15" customHeight="1" x14ac:dyDescent="0.3">
      <c r="A75" s="3">
        <v>74</v>
      </c>
      <c r="B75" s="3" t="s">
        <v>540</v>
      </c>
      <c r="C75" s="3" t="s">
        <v>466</v>
      </c>
      <c r="D75" s="8"/>
      <c r="E75" s="8"/>
      <c r="F75" s="8"/>
    </row>
    <row r="76" spans="1:6" ht="15" customHeight="1" x14ac:dyDescent="0.3">
      <c r="A76" s="3">
        <v>75</v>
      </c>
      <c r="B76" s="3" t="s">
        <v>541</v>
      </c>
      <c r="C76" s="3" t="s">
        <v>466</v>
      </c>
      <c r="D76" s="8"/>
      <c r="E76" s="8"/>
      <c r="F76" s="8"/>
    </row>
    <row r="77" spans="1:6" ht="15" customHeight="1" x14ac:dyDescent="0.3">
      <c r="A77" s="3">
        <v>76</v>
      </c>
      <c r="B77" s="3" t="s">
        <v>542</v>
      </c>
      <c r="C77" s="3" t="s">
        <v>466</v>
      </c>
      <c r="D77" s="8"/>
      <c r="E77" s="8"/>
      <c r="F77" s="8"/>
    </row>
    <row r="78" spans="1:6" ht="15" customHeight="1" x14ac:dyDescent="0.3">
      <c r="A78" s="3">
        <v>77</v>
      </c>
      <c r="B78" s="3" t="s">
        <v>543</v>
      </c>
      <c r="C78" s="3" t="s">
        <v>466</v>
      </c>
      <c r="D78" s="8"/>
      <c r="E78" s="8"/>
      <c r="F78" s="8"/>
    </row>
    <row r="79" spans="1:6" ht="15" customHeight="1" x14ac:dyDescent="0.3">
      <c r="A79" s="3">
        <v>78</v>
      </c>
      <c r="B79" s="3" t="s">
        <v>544</v>
      </c>
      <c r="C79" s="3" t="s">
        <v>466</v>
      </c>
      <c r="D79" s="8"/>
      <c r="E79" s="8"/>
      <c r="F79" s="8"/>
    </row>
    <row r="80" spans="1:6" ht="15" customHeight="1" x14ac:dyDescent="0.3">
      <c r="A80" s="3">
        <v>79</v>
      </c>
      <c r="B80" s="3" t="s">
        <v>545</v>
      </c>
      <c r="C80" s="3" t="s">
        <v>466</v>
      </c>
      <c r="D80" s="8"/>
      <c r="E80" s="8"/>
      <c r="F80" s="8"/>
    </row>
    <row r="81" spans="1:6" ht="15" customHeight="1" x14ac:dyDescent="0.3">
      <c r="A81" s="3">
        <v>80</v>
      </c>
      <c r="B81" s="3" t="s">
        <v>546</v>
      </c>
      <c r="C81" s="3" t="s">
        <v>466</v>
      </c>
      <c r="D81" s="8"/>
      <c r="E81" s="8"/>
      <c r="F81" s="8"/>
    </row>
    <row r="82" spans="1:6" ht="15" customHeight="1" x14ac:dyDescent="0.3">
      <c r="A82" s="3">
        <v>81</v>
      </c>
      <c r="B82" s="3" t="s">
        <v>547</v>
      </c>
      <c r="C82" s="3" t="s">
        <v>466</v>
      </c>
      <c r="D82" s="8"/>
      <c r="E82" s="8"/>
      <c r="F82" s="8"/>
    </row>
    <row r="83" spans="1:6" ht="15" customHeight="1" x14ac:dyDescent="0.3">
      <c r="A83" s="3">
        <v>82</v>
      </c>
      <c r="B83" s="3" t="s">
        <v>548</v>
      </c>
      <c r="C83" s="3" t="s">
        <v>466</v>
      </c>
      <c r="D83" s="8"/>
      <c r="E83" s="8"/>
      <c r="F83" s="8"/>
    </row>
    <row r="84" spans="1:6" ht="15" customHeight="1" x14ac:dyDescent="0.3">
      <c r="A84" s="3">
        <v>83</v>
      </c>
      <c r="B84" s="3" t="s">
        <v>549</v>
      </c>
      <c r="C84" s="3" t="s">
        <v>466</v>
      </c>
      <c r="D84" s="8"/>
      <c r="E84" s="8"/>
      <c r="F84" s="8"/>
    </row>
    <row r="85" spans="1:6" ht="15" customHeight="1" x14ac:dyDescent="0.3">
      <c r="A85" s="3">
        <v>84</v>
      </c>
      <c r="B85" s="3" t="s">
        <v>550</v>
      </c>
      <c r="C85" s="3" t="s">
        <v>466</v>
      </c>
      <c r="D85" s="8"/>
      <c r="E85" s="8"/>
      <c r="F85" s="8"/>
    </row>
    <row r="86" spans="1:6" ht="15" customHeight="1" x14ac:dyDescent="0.3">
      <c r="A86" s="3">
        <v>85</v>
      </c>
      <c r="B86" s="3" t="s">
        <v>551</v>
      </c>
      <c r="C86" s="3" t="s">
        <v>466</v>
      </c>
      <c r="D86" s="8"/>
      <c r="E86" s="8"/>
      <c r="F86" s="8"/>
    </row>
    <row r="87" spans="1:6" ht="15" customHeight="1" x14ac:dyDescent="0.3">
      <c r="A87" s="3">
        <v>86</v>
      </c>
      <c r="B87" s="3" t="s">
        <v>552</v>
      </c>
      <c r="C87" s="3" t="s">
        <v>466</v>
      </c>
      <c r="D87" s="8"/>
      <c r="E87" s="8"/>
      <c r="F87" s="8"/>
    </row>
    <row r="88" spans="1:6" ht="15" customHeight="1" x14ac:dyDescent="0.3">
      <c r="A88" s="3">
        <v>87</v>
      </c>
      <c r="B88" s="3" t="s">
        <v>553</v>
      </c>
      <c r="C88" s="3" t="s">
        <v>466</v>
      </c>
      <c r="D88" s="8"/>
      <c r="E88" s="8"/>
      <c r="F88" s="8"/>
    </row>
    <row r="89" spans="1:6" ht="15" customHeight="1" x14ac:dyDescent="0.3">
      <c r="A89" s="3">
        <v>88</v>
      </c>
      <c r="B89" s="3" t="s">
        <v>554</v>
      </c>
      <c r="C89" s="3" t="s">
        <v>466</v>
      </c>
      <c r="D89" s="8"/>
      <c r="E89" s="8"/>
      <c r="F89" s="8"/>
    </row>
    <row r="90" spans="1:6" ht="15" customHeight="1" x14ac:dyDescent="0.3">
      <c r="A90" s="3">
        <v>89</v>
      </c>
      <c r="B90" s="3" t="s">
        <v>555</v>
      </c>
      <c r="C90" s="3" t="s">
        <v>466</v>
      </c>
      <c r="D90" s="8"/>
      <c r="E90" s="8"/>
      <c r="F90" s="8"/>
    </row>
    <row r="91" spans="1:6" ht="15" customHeight="1" x14ac:dyDescent="0.3">
      <c r="A91" s="3">
        <v>90</v>
      </c>
      <c r="B91" s="3" t="s">
        <v>556</v>
      </c>
      <c r="C91" s="3" t="s">
        <v>466</v>
      </c>
      <c r="D91" s="8"/>
      <c r="E91" s="8"/>
      <c r="F91" s="8"/>
    </row>
    <row r="92" spans="1:6" ht="15" customHeight="1" x14ac:dyDescent="0.3">
      <c r="A92" s="3">
        <v>91</v>
      </c>
      <c r="B92" s="3" t="s">
        <v>557</v>
      </c>
      <c r="C92" s="3" t="s">
        <v>466</v>
      </c>
      <c r="D92" s="8"/>
      <c r="E92" s="8"/>
      <c r="F92" s="8"/>
    </row>
    <row r="93" spans="1:6" ht="15" customHeight="1" x14ac:dyDescent="0.3">
      <c r="A93" s="3">
        <v>92</v>
      </c>
      <c r="B93" s="3" t="s">
        <v>558</v>
      </c>
      <c r="C93" s="3" t="s">
        <v>466</v>
      </c>
      <c r="D93" s="8"/>
      <c r="E93" s="8"/>
      <c r="F93" s="8"/>
    </row>
    <row r="94" spans="1:6" ht="15" customHeight="1" x14ac:dyDescent="0.3">
      <c r="A94" s="3">
        <v>93</v>
      </c>
      <c r="B94" s="3" t="s">
        <v>559</v>
      </c>
      <c r="C94" s="3" t="s">
        <v>466</v>
      </c>
      <c r="D94" s="8"/>
      <c r="E94" s="8"/>
      <c r="F94" s="8"/>
    </row>
    <row r="95" spans="1:6" ht="15" customHeight="1" x14ac:dyDescent="0.3">
      <c r="A95" s="3">
        <v>94</v>
      </c>
      <c r="B95" s="3" t="s">
        <v>560</v>
      </c>
      <c r="C95" s="3" t="s">
        <v>466</v>
      </c>
      <c r="D95" s="8"/>
      <c r="E95" s="8"/>
      <c r="F95" s="8"/>
    </row>
    <row r="96" spans="1:6" ht="15" customHeight="1" x14ac:dyDescent="0.3">
      <c r="A96" s="3">
        <v>95</v>
      </c>
      <c r="B96" s="3" t="s">
        <v>561</v>
      </c>
      <c r="C96" s="3" t="s">
        <v>466</v>
      </c>
      <c r="D96" s="8"/>
      <c r="E96" s="8"/>
      <c r="F96" s="8"/>
    </row>
    <row r="97" spans="1:6" ht="15" customHeight="1" x14ac:dyDescent="0.3">
      <c r="A97" s="3">
        <v>96</v>
      </c>
      <c r="B97" s="3" t="s">
        <v>562</v>
      </c>
      <c r="C97" s="3" t="s">
        <v>466</v>
      </c>
      <c r="D97" s="8"/>
      <c r="E97" s="8"/>
      <c r="F97" s="8"/>
    </row>
    <row r="98" spans="1:6" ht="15" customHeight="1" x14ac:dyDescent="0.3">
      <c r="A98" s="3">
        <v>97</v>
      </c>
      <c r="B98" s="3" t="s">
        <v>563</v>
      </c>
      <c r="C98" s="3" t="s">
        <v>466</v>
      </c>
      <c r="D98" s="8"/>
      <c r="E98" s="8"/>
      <c r="F98" s="8"/>
    </row>
    <row r="99" spans="1:6" ht="15" customHeight="1" x14ac:dyDescent="0.3">
      <c r="A99" s="3">
        <v>98</v>
      </c>
      <c r="B99" s="3" t="s">
        <v>564</v>
      </c>
      <c r="C99" s="3" t="s">
        <v>466</v>
      </c>
      <c r="D99" s="8"/>
      <c r="E99" s="8"/>
      <c r="F99" s="8"/>
    </row>
    <row r="100" spans="1:6" ht="15" customHeight="1" x14ac:dyDescent="0.3">
      <c r="A100" s="3">
        <v>99</v>
      </c>
      <c r="B100" s="3" t="s">
        <v>565</v>
      </c>
      <c r="C100" s="3" t="s">
        <v>466</v>
      </c>
      <c r="D100" s="8"/>
      <c r="E100" s="8"/>
      <c r="F100" s="8"/>
    </row>
    <row r="101" spans="1:6" ht="15" customHeight="1" x14ac:dyDescent="0.3">
      <c r="A101" s="3">
        <v>100</v>
      </c>
      <c r="B101" s="3" t="s">
        <v>566</v>
      </c>
      <c r="C101" s="3" t="s">
        <v>466</v>
      </c>
      <c r="D101" s="8"/>
      <c r="E101" s="8"/>
      <c r="F101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1"/>
  <sheetViews>
    <sheetView showGridLines="0" zoomScaleNormal="100" workbookViewId="0">
      <selection sqref="A1:E101"/>
    </sheetView>
  </sheetViews>
  <sheetFormatPr defaultColWidth="8.6640625" defaultRowHeight="14.4" x14ac:dyDescent="0.3"/>
  <cols>
    <col min="1" max="1" width="11" style="1" customWidth="1"/>
    <col min="2" max="2" width="30" style="1" customWidth="1"/>
    <col min="3" max="3" width="20" style="1" customWidth="1"/>
    <col min="4" max="4" width="25" style="1" customWidth="1"/>
    <col min="5" max="5" width="16" style="1" customWidth="1"/>
  </cols>
  <sheetData>
    <row r="1" spans="1:5" ht="19.5" customHeight="1" x14ac:dyDescent="0.3">
      <c r="A1" s="7" t="s">
        <v>3</v>
      </c>
      <c r="B1" s="7" t="s">
        <v>44</v>
      </c>
      <c r="C1" s="7" t="s">
        <v>45</v>
      </c>
      <c r="D1" s="7" t="s">
        <v>46</v>
      </c>
      <c r="E1" s="7" t="s">
        <v>47</v>
      </c>
    </row>
    <row r="2" spans="1:5" ht="15" customHeight="1" x14ac:dyDescent="0.3">
      <c r="A2" s="3">
        <v>1</v>
      </c>
      <c r="B2" s="3" t="s">
        <v>49</v>
      </c>
      <c r="C2" s="3" t="s">
        <v>50</v>
      </c>
      <c r="D2" s="3" t="s">
        <v>51</v>
      </c>
      <c r="E2" s="3" t="s">
        <v>52</v>
      </c>
    </row>
    <row r="3" spans="1:5" ht="15" customHeight="1" x14ac:dyDescent="0.3">
      <c r="A3" s="3">
        <v>2</v>
      </c>
      <c r="B3" s="3" t="s">
        <v>55</v>
      </c>
      <c r="C3" s="3" t="s">
        <v>56</v>
      </c>
      <c r="D3" s="3" t="s">
        <v>57</v>
      </c>
      <c r="E3" s="3" t="s">
        <v>58</v>
      </c>
    </row>
    <row r="4" spans="1:5" ht="15" customHeight="1" x14ac:dyDescent="0.3">
      <c r="A4" s="3">
        <v>3</v>
      </c>
      <c r="B4" s="3" t="s">
        <v>567</v>
      </c>
      <c r="C4" s="3" t="s">
        <v>568</v>
      </c>
      <c r="D4" s="3" t="s">
        <v>569</v>
      </c>
      <c r="E4" s="3" t="s">
        <v>570</v>
      </c>
    </row>
    <row r="5" spans="1:5" ht="15" customHeight="1" x14ac:dyDescent="0.3">
      <c r="A5" s="3">
        <v>4</v>
      </c>
      <c r="B5" s="3" t="s">
        <v>571</v>
      </c>
      <c r="C5" s="3" t="s">
        <v>572</v>
      </c>
      <c r="D5" s="3" t="s">
        <v>573</v>
      </c>
      <c r="E5" s="3" t="s">
        <v>52</v>
      </c>
    </row>
    <row r="6" spans="1:5" ht="15" customHeight="1" x14ac:dyDescent="0.3">
      <c r="A6" s="3">
        <v>5</v>
      </c>
      <c r="B6" s="3" t="s">
        <v>574</v>
      </c>
      <c r="C6" s="3" t="s">
        <v>575</v>
      </c>
      <c r="D6" s="3" t="s">
        <v>576</v>
      </c>
      <c r="E6" s="3" t="s">
        <v>58</v>
      </c>
    </row>
    <row r="7" spans="1:5" ht="15" customHeight="1" x14ac:dyDescent="0.3">
      <c r="A7" s="3">
        <v>6</v>
      </c>
      <c r="B7" s="3" t="s">
        <v>577</v>
      </c>
      <c r="C7" s="3" t="s">
        <v>578</v>
      </c>
      <c r="D7" s="3" t="s">
        <v>579</v>
      </c>
      <c r="E7" s="3" t="s">
        <v>570</v>
      </c>
    </row>
    <row r="8" spans="1:5" ht="15" customHeight="1" x14ac:dyDescent="0.3">
      <c r="A8" s="3">
        <v>7</v>
      </c>
      <c r="B8" s="3" t="s">
        <v>580</v>
      </c>
      <c r="C8" s="3" t="s">
        <v>581</v>
      </c>
      <c r="D8" s="3" t="s">
        <v>569</v>
      </c>
      <c r="E8" s="3" t="s">
        <v>52</v>
      </c>
    </row>
    <row r="9" spans="1:5" ht="15" customHeight="1" x14ac:dyDescent="0.3">
      <c r="A9" s="3">
        <v>8</v>
      </c>
      <c r="B9" s="3" t="s">
        <v>582</v>
      </c>
      <c r="C9" s="3" t="s">
        <v>583</v>
      </c>
      <c r="D9" s="3" t="s">
        <v>584</v>
      </c>
      <c r="E9" s="3" t="s">
        <v>58</v>
      </c>
    </row>
    <row r="10" spans="1:5" ht="15" customHeight="1" x14ac:dyDescent="0.3">
      <c r="A10" s="3">
        <v>9</v>
      </c>
      <c r="B10" s="3" t="s">
        <v>585</v>
      </c>
      <c r="C10" s="3" t="s">
        <v>586</v>
      </c>
      <c r="D10" s="3" t="s">
        <v>587</v>
      </c>
      <c r="E10" s="3" t="s">
        <v>570</v>
      </c>
    </row>
    <row r="11" spans="1:5" ht="15" customHeight="1" x14ac:dyDescent="0.3">
      <c r="A11" s="3">
        <v>10</v>
      </c>
      <c r="B11" s="3" t="s">
        <v>588</v>
      </c>
      <c r="C11" s="3" t="s">
        <v>589</v>
      </c>
      <c r="D11" s="3" t="s">
        <v>590</v>
      </c>
      <c r="E11" s="3" t="s">
        <v>52</v>
      </c>
    </row>
    <row r="12" spans="1:5" ht="15" customHeight="1" x14ac:dyDescent="0.3">
      <c r="A12" s="3">
        <v>11</v>
      </c>
      <c r="B12" s="3" t="s">
        <v>591</v>
      </c>
      <c r="C12" s="3" t="s">
        <v>592</v>
      </c>
      <c r="D12" s="3" t="s">
        <v>593</v>
      </c>
      <c r="E12" s="3" t="s">
        <v>58</v>
      </c>
    </row>
    <row r="13" spans="1:5" ht="15" customHeight="1" x14ac:dyDescent="0.3">
      <c r="A13" s="3">
        <v>12</v>
      </c>
      <c r="B13" s="3" t="s">
        <v>594</v>
      </c>
      <c r="C13" s="3" t="s">
        <v>595</v>
      </c>
      <c r="D13" s="3" t="s">
        <v>596</v>
      </c>
      <c r="E13" s="3" t="s">
        <v>570</v>
      </c>
    </row>
    <row r="14" spans="1:5" ht="15" customHeight="1" x14ac:dyDescent="0.3">
      <c r="A14" s="3">
        <v>13</v>
      </c>
      <c r="B14" s="3" t="s">
        <v>597</v>
      </c>
      <c r="C14" s="3" t="s">
        <v>598</v>
      </c>
      <c r="D14" s="3" t="s">
        <v>599</v>
      </c>
      <c r="E14" s="3" t="s">
        <v>52</v>
      </c>
    </row>
    <row r="15" spans="1:5" ht="15" customHeight="1" x14ac:dyDescent="0.3">
      <c r="A15" s="3">
        <v>14</v>
      </c>
      <c r="B15" s="3" t="s">
        <v>600</v>
      </c>
      <c r="C15" s="3" t="s">
        <v>601</v>
      </c>
      <c r="D15" s="3" t="s">
        <v>602</v>
      </c>
      <c r="E15" s="3" t="s">
        <v>58</v>
      </c>
    </row>
    <row r="16" spans="1:5" ht="15" customHeight="1" x14ac:dyDescent="0.3">
      <c r="A16" s="3">
        <v>15</v>
      </c>
      <c r="B16" s="3" t="s">
        <v>603</v>
      </c>
      <c r="C16" s="3" t="s">
        <v>604</v>
      </c>
      <c r="D16" s="3" t="s">
        <v>605</v>
      </c>
      <c r="E16" s="3" t="s">
        <v>570</v>
      </c>
    </row>
    <row r="17" spans="1:5" ht="15" customHeight="1" x14ac:dyDescent="0.3">
      <c r="A17" s="3">
        <v>16</v>
      </c>
      <c r="B17" s="3" t="s">
        <v>606</v>
      </c>
      <c r="C17" s="3" t="s">
        <v>607</v>
      </c>
      <c r="D17" s="3" t="s">
        <v>608</v>
      </c>
      <c r="E17" s="3" t="s">
        <v>52</v>
      </c>
    </row>
    <row r="18" spans="1:5" ht="15" customHeight="1" x14ac:dyDescent="0.3">
      <c r="A18" s="3">
        <v>17</v>
      </c>
      <c r="B18" s="3" t="s">
        <v>609</v>
      </c>
      <c r="C18" s="3" t="s">
        <v>610</v>
      </c>
      <c r="D18" s="3" t="s">
        <v>611</v>
      </c>
      <c r="E18" s="3" t="s">
        <v>58</v>
      </c>
    </row>
    <row r="19" spans="1:5" ht="15" customHeight="1" x14ac:dyDescent="0.3">
      <c r="A19" s="3">
        <v>18</v>
      </c>
      <c r="B19" s="3" t="s">
        <v>612</v>
      </c>
      <c r="C19" s="3" t="s">
        <v>613</v>
      </c>
      <c r="D19" s="3" t="s">
        <v>614</v>
      </c>
      <c r="E19" s="3" t="s">
        <v>570</v>
      </c>
    </row>
    <row r="20" spans="1:5" ht="15" customHeight="1" x14ac:dyDescent="0.3">
      <c r="A20" s="3">
        <v>19</v>
      </c>
      <c r="B20" s="3" t="s">
        <v>615</v>
      </c>
      <c r="C20" s="3" t="s">
        <v>616</v>
      </c>
      <c r="D20" s="3" t="s">
        <v>617</v>
      </c>
      <c r="E20" s="3" t="s">
        <v>52</v>
      </c>
    </row>
    <row r="21" spans="1:5" ht="15" customHeight="1" x14ac:dyDescent="0.3">
      <c r="A21" s="3">
        <v>20</v>
      </c>
      <c r="B21" s="3" t="s">
        <v>618</v>
      </c>
      <c r="C21" s="3" t="s">
        <v>619</v>
      </c>
      <c r="D21" s="3" t="s">
        <v>620</v>
      </c>
      <c r="E21" s="3" t="s">
        <v>58</v>
      </c>
    </row>
    <row r="22" spans="1:5" ht="15" customHeight="1" x14ac:dyDescent="0.3">
      <c r="A22" s="3">
        <v>21</v>
      </c>
      <c r="B22" s="3" t="s">
        <v>621</v>
      </c>
      <c r="C22" s="3" t="s">
        <v>50</v>
      </c>
      <c r="D22" s="3" t="s">
        <v>51</v>
      </c>
      <c r="E22" s="3" t="s">
        <v>570</v>
      </c>
    </row>
    <row r="23" spans="1:5" ht="15" customHeight="1" x14ac:dyDescent="0.3">
      <c r="A23" s="3">
        <v>22</v>
      </c>
      <c r="B23" s="3" t="s">
        <v>622</v>
      </c>
      <c r="C23" s="3" t="s">
        <v>56</v>
      </c>
      <c r="D23" s="3" t="s">
        <v>57</v>
      </c>
      <c r="E23" s="3" t="s">
        <v>52</v>
      </c>
    </row>
    <row r="24" spans="1:5" ht="15" customHeight="1" x14ac:dyDescent="0.3">
      <c r="A24" s="3">
        <v>23</v>
      </c>
      <c r="B24" s="3" t="s">
        <v>623</v>
      </c>
      <c r="C24" s="3" t="s">
        <v>568</v>
      </c>
      <c r="D24" s="3" t="s">
        <v>569</v>
      </c>
      <c r="E24" s="3" t="s">
        <v>58</v>
      </c>
    </row>
    <row r="25" spans="1:5" ht="15" customHeight="1" x14ac:dyDescent="0.3">
      <c r="A25" s="3">
        <v>24</v>
      </c>
      <c r="B25" s="3" t="s">
        <v>624</v>
      </c>
      <c r="C25" s="3" t="s">
        <v>572</v>
      </c>
      <c r="D25" s="3" t="s">
        <v>573</v>
      </c>
      <c r="E25" s="3" t="s">
        <v>570</v>
      </c>
    </row>
    <row r="26" spans="1:5" ht="15" customHeight="1" x14ac:dyDescent="0.3">
      <c r="A26" s="3">
        <v>25</v>
      </c>
      <c r="B26" s="3" t="s">
        <v>625</v>
      </c>
      <c r="C26" s="3" t="s">
        <v>575</v>
      </c>
      <c r="D26" s="3" t="s">
        <v>576</v>
      </c>
      <c r="E26" s="3" t="s">
        <v>52</v>
      </c>
    </row>
    <row r="27" spans="1:5" ht="15" customHeight="1" x14ac:dyDescent="0.3">
      <c r="A27" s="3">
        <v>26</v>
      </c>
      <c r="B27" s="3" t="s">
        <v>626</v>
      </c>
      <c r="C27" s="3" t="s">
        <v>578</v>
      </c>
      <c r="D27" s="3" t="s">
        <v>579</v>
      </c>
      <c r="E27" s="3" t="s">
        <v>58</v>
      </c>
    </row>
    <row r="28" spans="1:5" ht="15" customHeight="1" x14ac:dyDescent="0.3">
      <c r="A28" s="3">
        <v>27</v>
      </c>
      <c r="B28" s="3" t="s">
        <v>627</v>
      </c>
      <c r="C28" s="3" t="s">
        <v>581</v>
      </c>
      <c r="D28" s="3" t="s">
        <v>569</v>
      </c>
      <c r="E28" s="3" t="s">
        <v>570</v>
      </c>
    </row>
    <row r="29" spans="1:5" ht="15" customHeight="1" x14ac:dyDescent="0.3">
      <c r="A29" s="3">
        <v>28</v>
      </c>
      <c r="B29" s="3" t="s">
        <v>628</v>
      </c>
      <c r="C29" s="3" t="s">
        <v>583</v>
      </c>
      <c r="D29" s="3" t="s">
        <v>584</v>
      </c>
      <c r="E29" s="3" t="s">
        <v>52</v>
      </c>
    </row>
    <row r="30" spans="1:5" ht="15" customHeight="1" x14ac:dyDescent="0.3">
      <c r="A30" s="3">
        <v>29</v>
      </c>
      <c r="B30" s="3" t="s">
        <v>629</v>
      </c>
      <c r="C30" s="3" t="s">
        <v>586</v>
      </c>
      <c r="D30" s="3" t="s">
        <v>587</v>
      </c>
      <c r="E30" s="3" t="s">
        <v>58</v>
      </c>
    </row>
    <row r="31" spans="1:5" ht="15" customHeight="1" x14ac:dyDescent="0.3">
      <c r="A31" s="3">
        <v>30</v>
      </c>
      <c r="B31" s="3" t="s">
        <v>630</v>
      </c>
      <c r="C31" s="3" t="s">
        <v>589</v>
      </c>
      <c r="D31" s="3" t="s">
        <v>590</v>
      </c>
      <c r="E31" s="3" t="s">
        <v>570</v>
      </c>
    </row>
    <row r="32" spans="1:5" ht="15" customHeight="1" x14ac:dyDescent="0.3">
      <c r="A32" s="3">
        <v>31</v>
      </c>
      <c r="B32" s="3" t="s">
        <v>631</v>
      </c>
      <c r="C32" s="3" t="s">
        <v>592</v>
      </c>
      <c r="D32" s="3" t="s">
        <v>593</v>
      </c>
      <c r="E32" s="3" t="s">
        <v>52</v>
      </c>
    </row>
    <row r="33" spans="1:5" ht="15" customHeight="1" x14ac:dyDescent="0.3">
      <c r="A33" s="3">
        <v>32</v>
      </c>
      <c r="B33" s="3" t="s">
        <v>632</v>
      </c>
      <c r="C33" s="3" t="s">
        <v>595</v>
      </c>
      <c r="D33" s="3" t="s">
        <v>596</v>
      </c>
      <c r="E33" s="3" t="s">
        <v>58</v>
      </c>
    </row>
    <row r="34" spans="1:5" ht="15" customHeight="1" x14ac:dyDescent="0.3">
      <c r="A34" s="3">
        <v>33</v>
      </c>
      <c r="B34" s="3" t="s">
        <v>633</v>
      </c>
      <c r="C34" s="3" t="s">
        <v>598</v>
      </c>
      <c r="D34" s="3" t="s">
        <v>599</v>
      </c>
      <c r="E34" s="3" t="s">
        <v>570</v>
      </c>
    </row>
    <row r="35" spans="1:5" ht="15" customHeight="1" x14ac:dyDescent="0.3">
      <c r="A35" s="3">
        <v>34</v>
      </c>
      <c r="B35" s="3" t="s">
        <v>634</v>
      </c>
      <c r="C35" s="3" t="s">
        <v>601</v>
      </c>
      <c r="D35" s="3" t="s">
        <v>602</v>
      </c>
      <c r="E35" s="3" t="s">
        <v>52</v>
      </c>
    </row>
    <row r="36" spans="1:5" ht="15" customHeight="1" x14ac:dyDescent="0.3">
      <c r="A36" s="3">
        <v>35</v>
      </c>
      <c r="B36" s="3" t="s">
        <v>635</v>
      </c>
      <c r="C36" s="3" t="s">
        <v>604</v>
      </c>
      <c r="D36" s="3" t="s">
        <v>605</v>
      </c>
      <c r="E36" s="3" t="s">
        <v>58</v>
      </c>
    </row>
    <row r="37" spans="1:5" ht="15" customHeight="1" x14ac:dyDescent="0.3">
      <c r="A37" s="3">
        <v>36</v>
      </c>
      <c r="B37" s="3" t="s">
        <v>636</v>
      </c>
      <c r="C37" s="3" t="s">
        <v>607</v>
      </c>
      <c r="D37" s="3" t="s">
        <v>608</v>
      </c>
      <c r="E37" s="3" t="s">
        <v>570</v>
      </c>
    </row>
    <row r="38" spans="1:5" ht="15" customHeight="1" x14ac:dyDescent="0.3">
      <c r="A38" s="3">
        <v>37</v>
      </c>
      <c r="B38" s="3" t="s">
        <v>637</v>
      </c>
      <c r="C38" s="3" t="s">
        <v>610</v>
      </c>
      <c r="D38" s="3" t="s">
        <v>611</v>
      </c>
      <c r="E38" s="3" t="s">
        <v>52</v>
      </c>
    </row>
    <row r="39" spans="1:5" ht="15" customHeight="1" x14ac:dyDescent="0.3">
      <c r="A39" s="3">
        <v>38</v>
      </c>
      <c r="B39" s="3" t="s">
        <v>638</v>
      </c>
      <c r="C39" s="3" t="s">
        <v>613</v>
      </c>
      <c r="D39" s="3" t="s">
        <v>614</v>
      </c>
      <c r="E39" s="3" t="s">
        <v>58</v>
      </c>
    </row>
    <row r="40" spans="1:5" ht="15" customHeight="1" x14ac:dyDescent="0.3">
      <c r="A40" s="3">
        <v>39</v>
      </c>
      <c r="B40" s="3" t="s">
        <v>639</v>
      </c>
      <c r="C40" s="3" t="s">
        <v>616</v>
      </c>
      <c r="D40" s="3" t="s">
        <v>617</v>
      </c>
      <c r="E40" s="3" t="s">
        <v>570</v>
      </c>
    </row>
    <row r="41" spans="1:5" ht="15" customHeight="1" x14ac:dyDescent="0.3">
      <c r="A41" s="3">
        <v>40</v>
      </c>
      <c r="B41" s="3" t="s">
        <v>640</v>
      </c>
      <c r="C41" s="3" t="s">
        <v>619</v>
      </c>
      <c r="D41" s="3" t="s">
        <v>620</v>
      </c>
      <c r="E41" s="3" t="s">
        <v>52</v>
      </c>
    </row>
    <row r="42" spans="1:5" ht="15" customHeight="1" x14ac:dyDescent="0.3">
      <c r="A42" s="3">
        <v>41</v>
      </c>
      <c r="B42" s="3" t="s">
        <v>641</v>
      </c>
      <c r="C42" s="3" t="s">
        <v>50</v>
      </c>
      <c r="D42" s="3" t="s">
        <v>51</v>
      </c>
      <c r="E42" s="3" t="s">
        <v>58</v>
      </c>
    </row>
    <row r="43" spans="1:5" ht="15" customHeight="1" x14ac:dyDescent="0.3">
      <c r="A43" s="3">
        <v>42</v>
      </c>
      <c r="B43" s="3" t="s">
        <v>642</v>
      </c>
      <c r="C43" s="3" t="s">
        <v>56</v>
      </c>
      <c r="D43" s="3" t="s">
        <v>57</v>
      </c>
      <c r="E43" s="3" t="s">
        <v>570</v>
      </c>
    </row>
    <row r="44" spans="1:5" ht="15" customHeight="1" x14ac:dyDescent="0.3">
      <c r="A44" s="3">
        <v>43</v>
      </c>
      <c r="B44" s="3" t="s">
        <v>643</v>
      </c>
      <c r="C44" s="3" t="s">
        <v>568</v>
      </c>
      <c r="D44" s="3" t="s">
        <v>569</v>
      </c>
      <c r="E44" s="3" t="s">
        <v>52</v>
      </c>
    </row>
    <row r="45" spans="1:5" ht="15" customHeight="1" x14ac:dyDescent="0.3">
      <c r="A45" s="3">
        <v>44</v>
      </c>
      <c r="B45" s="3" t="s">
        <v>644</v>
      </c>
      <c r="C45" s="3" t="s">
        <v>572</v>
      </c>
      <c r="D45" s="3" t="s">
        <v>573</v>
      </c>
      <c r="E45" s="3" t="s">
        <v>58</v>
      </c>
    </row>
    <row r="46" spans="1:5" ht="15" customHeight="1" x14ac:dyDescent="0.3">
      <c r="A46" s="3">
        <v>45</v>
      </c>
      <c r="B46" s="3" t="s">
        <v>645</v>
      </c>
      <c r="C46" s="3" t="s">
        <v>575</v>
      </c>
      <c r="D46" s="3" t="s">
        <v>576</v>
      </c>
      <c r="E46" s="3" t="s">
        <v>570</v>
      </c>
    </row>
    <row r="47" spans="1:5" ht="15" customHeight="1" x14ac:dyDescent="0.3">
      <c r="A47" s="3">
        <v>46</v>
      </c>
      <c r="B47" s="3" t="s">
        <v>646</v>
      </c>
      <c r="C47" s="3" t="s">
        <v>578</v>
      </c>
      <c r="D47" s="3" t="s">
        <v>579</v>
      </c>
      <c r="E47" s="3" t="s">
        <v>52</v>
      </c>
    </row>
    <row r="48" spans="1:5" ht="15" customHeight="1" x14ac:dyDescent="0.3">
      <c r="A48" s="3">
        <v>47</v>
      </c>
      <c r="B48" s="3" t="s">
        <v>647</v>
      </c>
      <c r="C48" s="3" t="s">
        <v>581</v>
      </c>
      <c r="D48" s="3" t="s">
        <v>569</v>
      </c>
      <c r="E48" s="3" t="s">
        <v>58</v>
      </c>
    </row>
    <row r="49" spans="1:5" ht="15" customHeight="1" x14ac:dyDescent="0.3">
      <c r="A49" s="3">
        <v>48</v>
      </c>
      <c r="B49" s="3" t="s">
        <v>648</v>
      </c>
      <c r="C49" s="3" t="s">
        <v>583</v>
      </c>
      <c r="D49" s="3" t="s">
        <v>584</v>
      </c>
      <c r="E49" s="3" t="s">
        <v>570</v>
      </c>
    </row>
    <row r="50" spans="1:5" ht="15" customHeight="1" x14ac:dyDescent="0.3">
      <c r="A50" s="3">
        <v>49</v>
      </c>
      <c r="B50" s="3" t="s">
        <v>649</v>
      </c>
      <c r="C50" s="3" t="s">
        <v>586</v>
      </c>
      <c r="D50" s="3" t="s">
        <v>587</v>
      </c>
      <c r="E50" s="3" t="s">
        <v>52</v>
      </c>
    </row>
    <row r="51" spans="1:5" ht="15" customHeight="1" x14ac:dyDescent="0.3">
      <c r="A51" s="3">
        <v>50</v>
      </c>
      <c r="B51" s="3" t="s">
        <v>650</v>
      </c>
      <c r="C51" s="3" t="s">
        <v>589</v>
      </c>
      <c r="D51" s="3" t="s">
        <v>590</v>
      </c>
      <c r="E51" s="3" t="s">
        <v>58</v>
      </c>
    </row>
    <row r="52" spans="1:5" ht="15" customHeight="1" x14ac:dyDescent="0.3">
      <c r="A52" s="3">
        <v>51</v>
      </c>
      <c r="B52" s="3" t="s">
        <v>651</v>
      </c>
      <c r="C52" s="3" t="s">
        <v>592</v>
      </c>
      <c r="D52" s="3" t="s">
        <v>593</v>
      </c>
      <c r="E52" s="3" t="s">
        <v>570</v>
      </c>
    </row>
    <row r="53" spans="1:5" ht="15" customHeight="1" x14ac:dyDescent="0.3">
      <c r="A53" s="3">
        <v>52</v>
      </c>
      <c r="B53" s="3" t="s">
        <v>652</v>
      </c>
      <c r="C53" s="3" t="s">
        <v>595</v>
      </c>
      <c r="D53" s="3" t="s">
        <v>596</v>
      </c>
      <c r="E53" s="3" t="s">
        <v>52</v>
      </c>
    </row>
    <row r="54" spans="1:5" ht="15" customHeight="1" x14ac:dyDescent="0.3">
      <c r="A54" s="3">
        <v>53</v>
      </c>
      <c r="B54" s="3" t="s">
        <v>653</v>
      </c>
      <c r="C54" s="3" t="s">
        <v>598</v>
      </c>
      <c r="D54" s="3" t="s">
        <v>599</v>
      </c>
      <c r="E54" s="3" t="s">
        <v>58</v>
      </c>
    </row>
    <row r="55" spans="1:5" ht="15" customHeight="1" x14ac:dyDescent="0.3">
      <c r="A55" s="3">
        <v>54</v>
      </c>
      <c r="B55" s="3" t="s">
        <v>654</v>
      </c>
      <c r="C55" s="3" t="s">
        <v>601</v>
      </c>
      <c r="D55" s="3" t="s">
        <v>602</v>
      </c>
      <c r="E55" s="3" t="s">
        <v>570</v>
      </c>
    </row>
    <row r="56" spans="1:5" ht="15" customHeight="1" x14ac:dyDescent="0.3">
      <c r="A56" s="3">
        <v>55</v>
      </c>
      <c r="B56" s="3" t="s">
        <v>655</v>
      </c>
      <c r="C56" s="3" t="s">
        <v>604</v>
      </c>
      <c r="D56" s="3" t="s">
        <v>605</v>
      </c>
      <c r="E56" s="3" t="s">
        <v>52</v>
      </c>
    </row>
    <row r="57" spans="1:5" ht="15" customHeight="1" x14ac:dyDescent="0.3">
      <c r="A57" s="3">
        <v>56</v>
      </c>
      <c r="B57" s="3" t="s">
        <v>656</v>
      </c>
      <c r="C57" s="3" t="s">
        <v>607</v>
      </c>
      <c r="D57" s="3" t="s">
        <v>608</v>
      </c>
      <c r="E57" s="3" t="s">
        <v>58</v>
      </c>
    </row>
    <row r="58" spans="1:5" ht="15" customHeight="1" x14ac:dyDescent="0.3">
      <c r="A58" s="3">
        <v>57</v>
      </c>
      <c r="B58" s="3" t="s">
        <v>657</v>
      </c>
      <c r="C58" s="3" t="s">
        <v>610</v>
      </c>
      <c r="D58" s="3" t="s">
        <v>611</v>
      </c>
      <c r="E58" s="3" t="s">
        <v>570</v>
      </c>
    </row>
    <row r="59" spans="1:5" ht="15" customHeight="1" x14ac:dyDescent="0.3">
      <c r="A59" s="3">
        <v>58</v>
      </c>
      <c r="B59" s="3" t="s">
        <v>658</v>
      </c>
      <c r="C59" s="3" t="s">
        <v>613</v>
      </c>
      <c r="D59" s="3" t="s">
        <v>614</v>
      </c>
      <c r="E59" s="3" t="s">
        <v>52</v>
      </c>
    </row>
    <row r="60" spans="1:5" ht="15" customHeight="1" x14ac:dyDescent="0.3">
      <c r="A60" s="3">
        <v>59</v>
      </c>
      <c r="B60" s="3" t="s">
        <v>659</v>
      </c>
      <c r="C60" s="3" t="s">
        <v>616</v>
      </c>
      <c r="D60" s="3" t="s">
        <v>617</v>
      </c>
      <c r="E60" s="3" t="s">
        <v>58</v>
      </c>
    </row>
    <row r="61" spans="1:5" ht="15" customHeight="1" x14ac:dyDescent="0.3">
      <c r="A61" s="3">
        <v>60</v>
      </c>
      <c r="B61" s="3" t="s">
        <v>660</v>
      </c>
      <c r="C61" s="3" t="s">
        <v>619</v>
      </c>
      <c r="D61" s="3" t="s">
        <v>620</v>
      </c>
      <c r="E61" s="3" t="s">
        <v>570</v>
      </c>
    </row>
    <row r="62" spans="1:5" ht="15" customHeight="1" x14ac:dyDescent="0.3">
      <c r="A62" s="3">
        <v>61</v>
      </c>
      <c r="B62" s="3" t="s">
        <v>661</v>
      </c>
      <c r="C62" s="3" t="s">
        <v>50</v>
      </c>
      <c r="D62" s="3" t="s">
        <v>51</v>
      </c>
      <c r="E62" s="3" t="s">
        <v>52</v>
      </c>
    </row>
    <row r="63" spans="1:5" ht="15" customHeight="1" x14ac:dyDescent="0.3">
      <c r="A63" s="3">
        <v>62</v>
      </c>
      <c r="B63" s="3" t="s">
        <v>662</v>
      </c>
      <c r="C63" s="3" t="s">
        <v>56</v>
      </c>
      <c r="D63" s="3" t="s">
        <v>57</v>
      </c>
      <c r="E63" s="3" t="s">
        <v>58</v>
      </c>
    </row>
    <row r="64" spans="1:5" ht="15" customHeight="1" x14ac:dyDescent="0.3">
      <c r="A64" s="3">
        <v>63</v>
      </c>
      <c r="B64" s="3" t="s">
        <v>663</v>
      </c>
      <c r="C64" s="3" t="s">
        <v>568</v>
      </c>
      <c r="D64" s="3" t="s">
        <v>569</v>
      </c>
      <c r="E64" s="3" t="s">
        <v>570</v>
      </c>
    </row>
    <row r="65" spans="1:5" ht="15" customHeight="1" x14ac:dyDescent="0.3">
      <c r="A65" s="3">
        <v>64</v>
      </c>
      <c r="B65" s="3" t="s">
        <v>664</v>
      </c>
      <c r="C65" s="3" t="s">
        <v>572</v>
      </c>
      <c r="D65" s="3" t="s">
        <v>573</v>
      </c>
      <c r="E65" s="3" t="s">
        <v>52</v>
      </c>
    </row>
    <row r="66" spans="1:5" ht="15" customHeight="1" x14ac:dyDescent="0.3">
      <c r="A66" s="3">
        <v>65</v>
      </c>
      <c r="B66" s="3" t="s">
        <v>665</v>
      </c>
      <c r="C66" s="3" t="s">
        <v>575</v>
      </c>
      <c r="D66" s="3" t="s">
        <v>576</v>
      </c>
      <c r="E66" s="3" t="s">
        <v>58</v>
      </c>
    </row>
    <row r="67" spans="1:5" ht="15" customHeight="1" x14ac:dyDescent="0.3">
      <c r="A67" s="3">
        <v>66</v>
      </c>
      <c r="B67" s="3" t="s">
        <v>666</v>
      </c>
      <c r="C67" s="3" t="s">
        <v>578</v>
      </c>
      <c r="D67" s="3" t="s">
        <v>579</v>
      </c>
      <c r="E67" s="3" t="s">
        <v>570</v>
      </c>
    </row>
    <row r="68" spans="1:5" ht="15" customHeight="1" x14ac:dyDescent="0.3">
      <c r="A68" s="3">
        <v>67</v>
      </c>
      <c r="B68" s="3" t="s">
        <v>667</v>
      </c>
      <c r="C68" s="3" t="s">
        <v>581</v>
      </c>
      <c r="D68" s="3" t="s">
        <v>569</v>
      </c>
      <c r="E68" s="3" t="s">
        <v>52</v>
      </c>
    </row>
    <row r="69" spans="1:5" ht="15" customHeight="1" x14ac:dyDescent="0.3">
      <c r="A69" s="3">
        <v>68</v>
      </c>
      <c r="B69" s="3" t="s">
        <v>668</v>
      </c>
      <c r="C69" s="3" t="s">
        <v>583</v>
      </c>
      <c r="D69" s="3" t="s">
        <v>584</v>
      </c>
      <c r="E69" s="3" t="s">
        <v>58</v>
      </c>
    </row>
    <row r="70" spans="1:5" ht="15" customHeight="1" x14ac:dyDescent="0.3">
      <c r="A70" s="3">
        <v>69</v>
      </c>
      <c r="B70" s="3" t="s">
        <v>669</v>
      </c>
      <c r="C70" s="3" t="s">
        <v>586</v>
      </c>
      <c r="D70" s="3" t="s">
        <v>587</v>
      </c>
      <c r="E70" s="3" t="s">
        <v>570</v>
      </c>
    </row>
    <row r="71" spans="1:5" ht="15" customHeight="1" x14ac:dyDescent="0.3">
      <c r="A71" s="3">
        <v>70</v>
      </c>
      <c r="B71" s="3" t="s">
        <v>670</v>
      </c>
      <c r="C71" s="3" t="s">
        <v>589</v>
      </c>
      <c r="D71" s="3" t="s">
        <v>590</v>
      </c>
      <c r="E71" s="3" t="s">
        <v>52</v>
      </c>
    </row>
    <row r="72" spans="1:5" ht="15" customHeight="1" x14ac:dyDescent="0.3">
      <c r="A72" s="3">
        <v>71</v>
      </c>
      <c r="B72" s="3" t="s">
        <v>671</v>
      </c>
      <c r="C72" s="3" t="s">
        <v>592</v>
      </c>
      <c r="D72" s="3" t="s">
        <v>593</v>
      </c>
      <c r="E72" s="3" t="s">
        <v>58</v>
      </c>
    </row>
    <row r="73" spans="1:5" ht="15" customHeight="1" x14ac:dyDescent="0.3">
      <c r="A73" s="3">
        <v>72</v>
      </c>
      <c r="B73" s="3" t="s">
        <v>672</v>
      </c>
      <c r="C73" s="3" t="s">
        <v>595</v>
      </c>
      <c r="D73" s="3" t="s">
        <v>596</v>
      </c>
      <c r="E73" s="3" t="s">
        <v>570</v>
      </c>
    </row>
    <row r="74" spans="1:5" ht="15" customHeight="1" x14ac:dyDescent="0.3">
      <c r="A74" s="3">
        <v>73</v>
      </c>
      <c r="B74" s="3" t="s">
        <v>673</v>
      </c>
      <c r="C74" s="3" t="s">
        <v>598</v>
      </c>
      <c r="D74" s="3" t="s">
        <v>599</v>
      </c>
      <c r="E74" s="3" t="s">
        <v>52</v>
      </c>
    </row>
    <row r="75" spans="1:5" ht="15" customHeight="1" x14ac:dyDescent="0.3">
      <c r="A75" s="3">
        <v>74</v>
      </c>
      <c r="B75" s="3" t="s">
        <v>674</v>
      </c>
      <c r="C75" s="3" t="s">
        <v>601</v>
      </c>
      <c r="D75" s="3" t="s">
        <v>602</v>
      </c>
      <c r="E75" s="3" t="s">
        <v>58</v>
      </c>
    </row>
    <row r="76" spans="1:5" ht="15" customHeight="1" x14ac:dyDescent="0.3">
      <c r="A76" s="3">
        <v>75</v>
      </c>
      <c r="B76" s="3" t="s">
        <v>675</v>
      </c>
      <c r="C76" s="3" t="s">
        <v>604</v>
      </c>
      <c r="D76" s="3" t="s">
        <v>605</v>
      </c>
      <c r="E76" s="3" t="s">
        <v>570</v>
      </c>
    </row>
    <row r="77" spans="1:5" ht="15" customHeight="1" x14ac:dyDescent="0.3">
      <c r="A77" s="3">
        <v>76</v>
      </c>
      <c r="B77" s="3" t="s">
        <v>676</v>
      </c>
      <c r="C77" s="3" t="s">
        <v>607</v>
      </c>
      <c r="D77" s="3" t="s">
        <v>608</v>
      </c>
      <c r="E77" s="3" t="s">
        <v>52</v>
      </c>
    </row>
    <row r="78" spans="1:5" ht="15" customHeight="1" x14ac:dyDescent="0.3">
      <c r="A78" s="3">
        <v>77</v>
      </c>
      <c r="B78" s="3" t="s">
        <v>677</v>
      </c>
      <c r="C78" s="3" t="s">
        <v>610</v>
      </c>
      <c r="D78" s="3" t="s">
        <v>611</v>
      </c>
      <c r="E78" s="3" t="s">
        <v>58</v>
      </c>
    </row>
    <row r="79" spans="1:5" ht="15" customHeight="1" x14ac:dyDescent="0.3">
      <c r="A79" s="3">
        <v>78</v>
      </c>
      <c r="B79" s="3" t="s">
        <v>678</v>
      </c>
      <c r="C79" s="3" t="s">
        <v>613</v>
      </c>
      <c r="D79" s="3" t="s">
        <v>614</v>
      </c>
      <c r="E79" s="3" t="s">
        <v>570</v>
      </c>
    </row>
    <row r="80" spans="1:5" ht="15" customHeight="1" x14ac:dyDescent="0.3">
      <c r="A80" s="3">
        <v>79</v>
      </c>
      <c r="B80" s="3" t="s">
        <v>679</v>
      </c>
      <c r="C80" s="3" t="s">
        <v>616</v>
      </c>
      <c r="D80" s="3" t="s">
        <v>617</v>
      </c>
      <c r="E80" s="3" t="s">
        <v>52</v>
      </c>
    </row>
    <row r="81" spans="1:5" ht="15" customHeight="1" x14ac:dyDescent="0.3">
      <c r="A81" s="3">
        <v>80</v>
      </c>
      <c r="B81" s="3" t="s">
        <v>680</v>
      </c>
      <c r="C81" s="3" t="s">
        <v>619</v>
      </c>
      <c r="D81" s="3" t="s">
        <v>620</v>
      </c>
      <c r="E81" s="3" t="s">
        <v>58</v>
      </c>
    </row>
    <row r="82" spans="1:5" ht="15" customHeight="1" x14ac:dyDescent="0.3">
      <c r="A82" s="3">
        <v>81</v>
      </c>
      <c r="B82" s="3" t="s">
        <v>681</v>
      </c>
      <c r="C82" s="3" t="s">
        <v>50</v>
      </c>
      <c r="D82" s="3" t="s">
        <v>51</v>
      </c>
      <c r="E82" s="3" t="s">
        <v>570</v>
      </c>
    </row>
    <row r="83" spans="1:5" ht="15" customHeight="1" x14ac:dyDescent="0.3">
      <c r="A83" s="3">
        <v>82</v>
      </c>
      <c r="B83" s="3" t="s">
        <v>682</v>
      </c>
      <c r="C83" s="3" t="s">
        <v>56</v>
      </c>
      <c r="D83" s="3" t="s">
        <v>57</v>
      </c>
      <c r="E83" s="3" t="s">
        <v>52</v>
      </c>
    </row>
    <row r="84" spans="1:5" ht="15" customHeight="1" x14ac:dyDescent="0.3">
      <c r="A84" s="3">
        <v>83</v>
      </c>
      <c r="B84" s="3" t="s">
        <v>683</v>
      </c>
      <c r="C84" s="3" t="s">
        <v>568</v>
      </c>
      <c r="D84" s="3" t="s">
        <v>569</v>
      </c>
      <c r="E84" s="3" t="s">
        <v>58</v>
      </c>
    </row>
    <row r="85" spans="1:5" ht="15" customHeight="1" x14ac:dyDescent="0.3">
      <c r="A85" s="3">
        <v>84</v>
      </c>
      <c r="B85" s="3" t="s">
        <v>684</v>
      </c>
      <c r="C85" s="3" t="s">
        <v>572</v>
      </c>
      <c r="D85" s="3" t="s">
        <v>573</v>
      </c>
      <c r="E85" s="3" t="s">
        <v>570</v>
      </c>
    </row>
    <row r="86" spans="1:5" ht="15" customHeight="1" x14ac:dyDescent="0.3">
      <c r="A86" s="3">
        <v>85</v>
      </c>
      <c r="B86" s="3" t="s">
        <v>685</v>
      </c>
      <c r="C86" s="3" t="s">
        <v>575</v>
      </c>
      <c r="D86" s="3" t="s">
        <v>576</v>
      </c>
      <c r="E86" s="3" t="s">
        <v>52</v>
      </c>
    </row>
    <row r="87" spans="1:5" ht="15" customHeight="1" x14ac:dyDescent="0.3">
      <c r="A87" s="3">
        <v>86</v>
      </c>
      <c r="B87" s="3" t="s">
        <v>686</v>
      </c>
      <c r="C87" s="3" t="s">
        <v>578</v>
      </c>
      <c r="D87" s="3" t="s">
        <v>579</v>
      </c>
      <c r="E87" s="3" t="s">
        <v>58</v>
      </c>
    </row>
    <row r="88" spans="1:5" ht="15" customHeight="1" x14ac:dyDescent="0.3">
      <c r="A88" s="3">
        <v>87</v>
      </c>
      <c r="B88" s="3" t="s">
        <v>687</v>
      </c>
      <c r="C88" s="3" t="s">
        <v>581</v>
      </c>
      <c r="D88" s="3" t="s">
        <v>569</v>
      </c>
      <c r="E88" s="3" t="s">
        <v>570</v>
      </c>
    </row>
    <row r="89" spans="1:5" ht="15" customHeight="1" x14ac:dyDescent="0.3">
      <c r="A89" s="3">
        <v>88</v>
      </c>
      <c r="B89" s="3" t="s">
        <v>688</v>
      </c>
      <c r="C89" s="3" t="s">
        <v>583</v>
      </c>
      <c r="D89" s="3" t="s">
        <v>584</v>
      </c>
      <c r="E89" s="3" t="s">
        <v>52</v>
      </c>
    </row>
    <row r="90" spans="1:5" ht="15" customHeight="1" x14ac:dyDescent="0.3">
      <c r="A90" s="3">
        <v>89</v>
      </c>
      <c r="B90" s="3" t="s">
        <v>689</v>
      </c>
      <c r="C90" s="3" t="s">
        <v>586</v>
      </c>
      <c r="D90" s="3" t="s">
        <v>587</v>
      </c>
      <c r="E90" s="3" t="s">
        <v>58</v>
      </c>
    </row>
    <row r="91" spans="1:5" ht="15" customHeight="1" x14ac:dyDescent="0.3">
      <c r="A91" s="3">
        <v>90</v>
      </c>
      <c r="B91" s="3" t="s">
        <v>690</v>
      </c>
      <c r="C91" s="3" t="s">
        <v>589</v>
      </c>
      <c r="D91" s="3" t="s">
        <v>590</v>
      </c>
      <c r="E91" s="3" t="s">
        <v>570</v>
      </c>
    </row>
    <row r="92" spans="1:5" ht="15" customHeight="1" x14ac:dyDescent="0.3">
      <c r="A92" s="3">
        <v>91</v>
      </c>
      <c r="B92" s="3" t="s">
        <v>691</v>
      </c>
      <c r="C92" s="3" t="s">
        <v>592</v>
      </c>
      <c r="D92" s="3" t="s">
        <v>593</v>
      </c>
      <c r="E92" s="3" t="s">
        <v>52</v>
      </c>
    </row>
    <row r="93" spans="1:5" ht="15" customHeight="1" x14ac:dyDescent="0.3">
      <c r="A93" s="3">
        <v>92</v>
      </c>
      <c r="B93" s="3" t="s">
        <v>692</v>
      </c>
      <c r="C93" s="3" t="s">
        <v>595</v>
      </c>
      <c r="D93" s="3" t="s">
        <v>596</v>
      </c>
      <c r="E93" s="3" t="s">
        <v>58</v>
      </c>
    </row>
    <row r="94" spans="1:5" ht="15" customHeight="1" x14ac:dyDescent="0.3">
      <c r="A94" s="3">
        <v>93</v>
      </c>
      <c r="B94" s="3" t="s">
        <v>693</v>
      </c>
      <c r="C94" s="3" t="s">
        <v>598</v>
      </c>
      <c r="D94" s="3" t="s">
        <v>599</v>
      </c>
      <c r="E94" s="3" t="s">
        <v>570</v>
      </c>
    </row>
    <row r="95" spans="1:5" ht="15" customHeight="1" x14ac:dyDescent="0.3">
      <c r="A95" s="3">
        <v>94</v>
      </c>
      <c r="B95" s="3" t="s">
        <v>694</v>
      </c>
      <c r="C95" s="3" t="s">
        <v>601</v>
      </c>
      <c r="D95" s="3" t="s">
        <v>602</v>
      </c>
      <c r="E95" s="3" t="s">
        <v>52</v>
      </c>
    </row>
    <row r="96" spans="1:5" ht="15" customHeight="1" x14ac:dyDescent="0.3">
      <c r="A96" s="3">
        <v>95</v>
      </c>
      <c r="B96" s="3" t="s">
        <v>695</v>
      </c>
      <c r="C96" s="3" t="s">
        <v>604</v>
      </c>
      <c r="D96" s="3" t="s">
        <v>605</v>
      </c>
      <c r="E96" s="3" t="s">
        <v>58</v>
      </c>
    </row>
    <row r="97" spans="1:5" ht="15" customHeight="1" x14ac:dyDescent="0.3">
      <c r="A97" s="3">
        <v>96</v>
      </c>
      <c r="B97" s="3" t="s">
        <v>696</v>
      </c>
      <c r="C97" s="3" t="s">
        <v>607</v>
      </c>
      <c r="D97" s="3" t="s">
        <v>608</v>
      </c>
      <c r="E97" s="3" t="s">
        <v>570</v>
      </c>
    </row>
    <row r="98" spans="1:5" ht="15" customHeight="1" x14ac:dyDescent="0.3">
      <c r="A98" s="3">
        <v>97</v>
      </c>
      <c r="B98" s="3" t="s">
        <v>697</v>
      </c>
      <c r="C98" s="3" t="s">
        <v>610</v>
      </c>
      <c r="D98" s="3" t="s">
        <v>611</v>
      </c>
      <c r="E98" s="3" t="s">
        <v>52</v>
      </c>
    </row>
    <row r="99" spans="1:5" ht="15" customHeight="1" x14ac:dyDescent="0.3">
      <c r="A99" s="3">
        <v>98</v>
      </c>
      <c r="B99" s="3" t="s">
        <v>698</v>
      </c>
      <c r="C99" s="3" t="s">
        <v>613</v>
      </c>
      <c r="D99" s="3" t="s">
        <v>614</v>
      </c>
      <c r="E99" s="3" t="s">
        <v>58</v>
      </c>
    </row>
    <row r="100" spans="1:5" ht="15" customHeight="1" x14ac:dyDescent="0.3">
      <c r="A100" s="3">
        <v>99</v>
      </c>
      <c r="B100" s="3" t="s">
        <v>699</v>
      </c>
      <c r="C100" s="3" t="s">
        <v>616</v>
      </c>
      <c r="D100" s="3" t="s">
        <v>617</v>
      </c>
      <c r="E100" s="3" t="s">
        <v>570</v>
      </c>
    </row>
    <row r="101" spans="1:5" ht="15" customHeight="1" x14ac:dyDescent="0.3">
      <c r="A101" s="3">
        <v>100</v>
      </c>
      <c r="B101" s="3" t="s">
        <v>700</v>
      </c>
      <c r="C101" s="3" t="s">
        <v>619</v>
      </c>
      <c r="D101" s="3" t="s">
        <v>620</v>
      </c>
      <c r="E101" s="3" t="s">
        <v>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1"/>
  <sheetViews>
    <sheetView showGridLines="0" zoomScaleNormal="100" workbookViewId="0">
      <selection sqref="A1:I101"/>
    </sheetView>
  </sheetViews>
  <sheetFormatPr defaultColWidth="8.6640625" defaultRowHeight="14.4" x14ac:dyDescent="0.3"/>
  <cols>
    <col min="1" max="2" width="14" style="1" customWidth="1"/>
    <col min="3" max="5" width="13" style="1" customWidth="1"/>
    <col min="6" max="6" width="11" style="1" customWidth="1"/>
    <col min="7" max="7" width="12" style="1" customWidth="1"/>
  </cols>
  <sheetData>
    <row r="1" spans="1:9" ht="19.5" customHeight="1" x14ac:dyDescent="0.3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701</v>
      </c>
      <c r="G1" s="7" t="s">
        <v>702</v>
      </c>
      <c r="H1" s="8"/>
      <c r="I1" s="8"/>
    </row>
    <row r="2" spans="1:9" ht="15" customHeight="1" x14ac:dyDescent="0.3">
      <c r="A2" s="2">
        <v>46023</v>
      </c>
      <c r="B2" s="3">
        <v>4</v>
      </c>
      <c r="C2" s="3">
        <v>1</v>
      </c>
      <c r="D2" s="3" t="b">
        <f>FALSE()</f>
        <v>0</v>
      </c>
      <c r="E2" s="3" t="b">
        <f>TRUE()</f>
        <v>1</v>
      </c>
      <c r="F2" s="3" t="s">
        <v>703</v>
      </c>
      <c r="G2" s="3">
        <v>1</v>
      </c>
      <c r="H2" s="8"/>
      <c r="I2" s="8"/>
    </row>
    <row r="3" spans="1:9" ht="15" customHeight="1" x14ac:dyDescent="0.3">
      <c r="A3" s="2">
        <v>46024</v>
      </c>
      <c r="B3" s="3">
        <v>5</v>
      </c>
      <c r="C3" s="3">
        <v>1</v>
      </c>
      <c r="D3" s="3" t="b">
        <f>FALSE()</f>
        <v>0</v>
      </c>
      <c r="E3" s="3" t="b">
        <f>FALSE()</f>
        <v>0</v>
      </c>
      <c r="F3" s="3" t="s">
        <v>703</v>
      </c>
      <c r="G3" s="3">
        <v>1</v>
      </c>
      <c r="H3" s="8"/>
      <c r="I3" s="8"/>
    </row>
    <row r="4" spans="1:9" ht="15" customHeight="1" x14ac:dyDescent="0.3">
      <c r="A4" s="2">
        <v>46025</v>
      </c>
      <c r="B4" s="3">
        <v>6</v>
      </c>
      <c r="C4" s="3">
        <v>1</v>
      </c>
      <c r="D4" s="3" t="b">
        <f>TRUE()</f>
        <v>1</v>
      </c>
      <c r="E4" s="3" t="b">
        <f>FALSE()</f>
        <v>0</v>
      </c>
      <c r="F4" s="3" t="s">
        <v>703</v>
      </c>
      <c r="G4" s="3">
        <v>1</v>
      </c>
      <c r="H4" s="8"/>
      <c r="I4" s="8"/>
    </row>
    <row r="5" spans="1:9" ht="15" customHeight="1" x14ac:dyDescent="0.3">
      <c r="A5" s="2">
        <v>46026</v>
      </c>
      <c r="B5" s="3">
        <v>7</v>
      </c>
      <c r="C5" s="3">
        <v>1</v>
      </c>
      <c r="D5" s="3" t="b">
        <f>TRUE()</f>
        <v>1</v>
      </c>
      <c r="E5" s="3" t="b">
        <f>FALSE()</f>
        <v>0</v>
      </c>
      <c r="F5" s="3" t="s">
        <v>703</v>
      </c>
      <c r="G5" s="3">
        <v>1</v>
      </c>
      <c r="H5" s="8"/>
      <c r="I5" s="8"/>
    </row>
    <row r="6" spans="1:9" ht="15" customHeight="1" x14ac:dyDescent="0.3">
      <c r="A6" s="2">
        <v>46027</v>
      </c>
      <c r="B6" s="3">
        <v>1</v>
      </c>
      <c r="C6" s="3">
        <v>1</v>
      </c>
      <c r="D6" s="3" t="b">
        <f>FALSE()</f>
        <v>0</v>
      </c>
      <c r="E6" s="3" t="b">
        <f>FALSE()</f>
        <v>0</v>
      </c>
      <c r="F6" s="3" t="s">
        <v>703</v>
      </c>
      <c r="G6" s="3">
        <v>2</v>
      </c>
      <c r="H6" s="8"/>
      <c r="I6" s="8"/>
    </row>
    <row r="7" spans="1:9" ht="15" customHeight="1" x14ac:dyDescent="0.3">
      <c r="A7" s="2">
        <v>46028</v>
      </c>
      <c r="B7" s="3">
        <v>2</v>
      </c>
      <c r="C7" s="3">
        <v>1</v>
      </c>
      <c r="D7" s="3" t="b">
        <f>FALSE()</f>
        <v>0</v>
      </c>
      <c r="E7" s="3" t="b">
        <f>FALSE()</f>
        <v>0</v>
      </c>
      <c r="F7" s="3" t="s">
        <v>703</v>
      </c>
      <c r="G7" s="3">
        <v>2</v>
      </c>
      <c r="H7" s="8"/>
      <c r="I7" s="8"/>
    </row>
    <row r="8" spans="1:9" ht="15" customHeight="1" x14ac:dyDescent="0.3">
      <c r="A8" s="2">
        <v>46029</v>
      </c>
      <c r="B8" s="3">
        <v>3</v>
      </c>
      <c r="C8" s="3">
        <v>1</v>
      </c>
      <c r="D8" s="3" t="b">
        <f>FALSE()</f>
        <v>0</v>
      </c>
      <c r="E8" s="3" t="b">
        <f>TRUE()</f>
        <v>1</v>
      </c>
      <c r="F8" s="3" t="s">
        <v>703</v>
      </c>
      <c r="G8" s="3">
        <v>2</v>
      </c>
      <c r="H8" s="8"/>
      <c r="I8" s="8"/>
    </row>
    <row r="9" spans="1:9" ht="15" customHeight="1" x14ac:dyDescent="0.3">
      <c r="A9" s="2">
        <v>46030</v>
      </c>
      <c r="B9" s="3">
        <v>4</v>
      </c>
      <c r="C9" s="3">
        <v>1</v>
      </c>
      <c r="D9" s="3" t="b">
        <f>FALSE()</f>
        <v>0</v>
      </c>
      <c r="E9" s="3" t="b">
        <f>FALSE()</f>
        <v>0</v>
      </c>
      <c r="F9" s="3" t="s">
        <v>703</v>
      </c>
      <c r="G9" s="3">
        <v>2</v>
      </c>
      <c r="H9" s="8"/>
      <c r="I9" s="8"/>
    </row>
    <row r="10" spans="1:9" ht="15" customHeight="1" x14ac:dyDescent="0.3">
      <c r="A10" s="2">
        <v>46031</v>
      </c>
      <c r="B10" s="3">
        <v>5</v>
      </c>
      <c r="C10" s="3">
        <v>1</v>
      </c>
      <c r="D10" s="3" t="b">
        <f>FALSE()</f>
        <v>0</v>
      </c>
      <c r="E10" s="3" t="b">
        <f>FALSE()</f>
        <v>0</v>
      </c>
      <c r="F10" s="3" t="s">
        <v>703</v>
      </c>
      <c r="G10" s="3">
        <v>2</v>
      </c>
      <c r="H10" s="8"/>
      <c r="I10" s="8"/>
    </row>
    <row r="11" spans="1:9" ht="15" customHeight="1" x14ac:dyDescent="0.3">
      <c r="A11" s="2">
        <v>46032</v>
      </c>
      <c r="B11" s="3">
        <v>6</v>
      </c>
      <c r="C11" s="3">
        <v>1</v>
      </c>
      <c r="D11" s="3" t="b">
        <f>TRUE()</f>
        <v>1</v>
      </c>
      <c r="E11" s="3" t="b">
        <f>FALSE()</f>
        <v>0</v>
      </c>
      <c r="F11" s="3" t="s">
        <v>703</v>
      </c>
      <c r="G11" s="3">
        <v>2</v>
      </c>
      <c r="H11" s="8"/>
      <c r="I11" s="8"/>
    </row>
    <row r="12" spans="1:9" ht="15" customHeight="1" x14ac:dyDescent="0.3">
      <c r="A12" s="2">
        <v>46033</v>
      </c>
      <c r="B12" s="3">
        <v>7</v>
      </c>
      <c r="C12" s="3">
        <v>1</v>
      </c>
      <c r="D12" s="3" t="b">
        <f>TRUE()</f>
        <v>1</v>
      </c>
      <c r="E12" s="3" t="b">
        <f>FALSE()</f>
        <v>0</v>
      </c>
      <c r="F12" s="3" t="s">
        <v>703</v>
      </c>
      <c r="G12" s="3">
        <v>2</v>
      </c>
      <c r="H12" s="8"/>
      <c r="I12" s="8"/>
    </row>
    <row r="13" spans="1:9" ht="15" customHeight="1" x14ac:dyDescent="0.3">
      <c r="A13" s="2">
        <v>46034</v>
      </c>
      <c r="B13" s="3">
        <v>1</v>
      </c>
      <c r="C13" s="3">
        <v>1</v>
      </c>
      <c r="D13" s="3" t="b">
        <f>FALSE()</f>
        <v>0</v>
      </c>
      <c r="E13" s="3" t="b">
        <f>FALSE()</f>
        <v>0</v>
      </c>
      <c r="F13" s="3" t="s">
        <v>703</v>
      </c>
      <c r="G13" s="3">
        <v>3</v>
      </c>
      <c r="H13" s="8"/>
      <c r="I13" s="8"/>
    </row>
    <row r="14" spans="1:9" ht="15" customHeight="1" x14ac:dyDescent="0.3">
      <c r="A14" s="2">
        <v>46035</v>
      </c>
      <c r="B14" s="3">
        <v>2</v>
      </c>
      <c r="C14" s="3">
        <v>1</v>
      </c>
      <c r="D14" s="3" t="b">
        <f>FALSE()</f>
        <v>0</v>
      </c>
      <c r="E14" s="3" t="b">
        <f>FALSE()</f>
        <v>0</v>
      </c>
      <c r="F14" s="3" t="s">
        <v>703</v>
      </c>
      <c r="G14" s="3">
        <v>3</v>
      </c>
      <c r="H14" s="8"/>
      <c r="I14" s="8"/>
    </row>
    <row r="15" spans="1:9" ht="15" customHeight="1" x14ac:dyDescent="0.3">
      <c r="A15" s="2">
        <v>46036</v>
      </c>
      <c r="B15" s="3">
        <v>3</v>
      </c>
      <c r="C15" s="3">
        <v>1</v>
      </c>
      <c r="D15" s="3" t="b">
        <f>FALSE()</f>
        <v>0</v>
      </c>
      <c r="E15" s="3" t="b">
        <f>FALSE()</f>
        <v>0</v>
      </c>
      <c r="F15" s="3" t="s">
        <v>703</v>
      </c>
      <c r="G15" s="3">
        <v>3</v>
      </c>
      <c r="H15" s="8"/>
      <c r="I15" s="8"/>
    </row>
    <row r="16" spans="1:9" ht="15" customHeight="1" x14ac:dyDescent="0.3">
      <c r="A16" s="2">
        <v>46037</v>
      </c>
      <c r="B16" s="3">
        <v>4</v>
      </c>
      <c r="C16" s="3">
        <v>1</v>
      </c>
      <c r="D16" s="3" t="b">
        <f>FALSE()</f>
        <v>0</v>
      </c>
      <c r="E16" s="3" t="b">
        <f>FALSE()</f>
        <v>0</v>
      </c>
      <c r="F16" s="3" t="s">
        <v>703</v>
      </c>
      <c r="G16" s="3">
        <v>3</v>
      </c>
      <c r="H16" s="8"/>
      <c r="I16" s="8"/>
    </row>
    <row r="17" spans="1:9" ht="15" customHeight="1" x14ac:dyDescent="0.3">
      <c r="A17" s="2">
        <v>46038</v>
      </c>
      <c r="B17" s="3">
        <v>5</v>
      </c>
      <c r="C17" s="3">
        <v>1</v>
      </c>
      <c r="D17" s="3" t="b">
        <f>FALSE()</f>
        <v>0</v>
      </c>
      <c r="E17" s="3" t="b">
        <f>FALSE()</f>
        <v>0</v>
      </c>
      <c r="F17" s="3" t="s">
        <v>703</v>
      </c>
      <c r="G17" s="3">
        <v>3</v>
      </c>
      <c r="H17" s="8"/>
      <c r="I17" s="8"/>
    </row>
    <row r="18" spans="1:9" ht="15" customHeight="1" x14ac:dyDescent="0.3">
      <c r="A18" s="2">
        <v>46039</v>
      </c>
      <c r="B18" s="3">
        <v>6</v>
      </c>
      <c r="C18" s="3">
        <v>1</v>
      </c>
      <c r="D18" s="3" t="b">
        <f>TRUE()</f>
        <v>1</v>
      </c>
      <c r="E18" s="3" t="b">
        <f>FALSE()</f>
        <v>0</v>
      </c>
      <c r="F18" s="3" t="s">
        <v>703</v>
      </c>
      <c r="G18" s="3">
        <v>3</v>
      </c>
      <c r="H18" s="8"/>
      <c r="I18" s="8"/>
    </row>
    <row r="19" spans="1:9" ht="15" customHeight="1" x14ac:dyDescent="0.3">
      <c r="A19" s="2">
        <v>46040</v>
      </c>
      <c r="B19" s="3">
        <v>7</v>
      </c>
      <c r="C19" s="3">
        <v>1</v>
      </c>
      <c r="D19" s="3" t="b">
        <f>TRUE()</f>
        <v>1</v>
      </c>
      <c r="E19" s="3" t="b">
        <f>FALSE()</f>
        <v>0</v>
      </c>
      <c r="F19" s="3" t="s">
        <v>703</v>
      </c>
      <c r="G19" s="3">
        <v>3</v>
      </c>
      <c r="H19" s="8"/>
      <c r="I19" s="8"/>
    </row>
    <row r="20" spans="1:9" ht="15" customHeight="1" x14ac:dyDescent="0.3">
      <c r="A20" s="2">
        <v>46041</v>
      </c>
      <c r="B20" s="3">
        <v>1</v>
      </c>
      <c r="C20" s="3">
        <v>1</v>
      </c>
      <c r="D20" s="3" t="b">
        <f>FALSE()</f>
        <v>0</v>
      </c>
      <c r="E20" s="3" t="b">
        <f>FALSE()</f>
        <v>0</v>
      </c>
      <c r="F20" s="3" t="s">
        <v>703</v>
      </c>
      <c r="G20" s="3">
        <v>4</v>
      </c>
      <c r="H20" s="8"/>
      <c r="I20" s="8"/>
    </row>
    <row r="21" spans="1:9" ht="15" customHeight="1" x14ac:dyDescent="0.3">
      <c r="A21" s="2">
        <v>46042</v>
      </c>
      <c r="B21" s="3">
        <v>2</v>
      </c>
      <c r="C21" s="3">
        <v>1</v>
      </c>
      <c r="D21" s="3" t="b">
        <f>FALSE()</f>
        <v>0</v>
      </c>
      <c r="E21" s="3" t="b">
        <f>FALSE()</f>
        <v>0</v>
      </c>
      <c r="F21" s="3" t="s">
        <v>703</v>
      </c>
      <c r="G21" s="3">
        <v>4</v>
      </c>
      <c r="H21" s="8"/>
      <c r="I21" s="8"/>
    </row>
    <row r="22" spans="1:9" ht="15" customHeight="1" x14ac:dyDescent="0.3">
      <c r="A22" s="2">
        <v>46043</v>
      </c>
      <c r="B22" s="3">
        <v>3</v>
      </c>
      <c r="C22" s="3">
        <v>1</v>
      </c>
      <c r="D22" s="3" t="b">
        <f>FALSE()</f>
        <v>0</v>
      </c>
      <c r="E22" s="3" t="b">
        <f>FALSE()</f>
        <v>0</v>
      </c>
      <c r="F22" s="3" t="s">
        <v>703</v>
      </c>
      <c r="G22" s="3">
        <v>4</v>
      </c>
      <c r="H22" s="8"/>
      <c r="I22" s="8"/>
    </row>
    <row r="23" spans="1:9" ht="15" customHeight="1" x14ac:dyDescent="0.3">
      <c r="A23" s="2">
        <v>46044</v>
      </c>
      <c r="B23" s="3">
        <v>4</v>
      </c>
      <c r="C23" s="3">
        <v>1</v>
      </c>
      <c r="D23" s="3" t="b">
        <f>FALSE()</f>
        <v>0</v>
      </c>
      <c r="E23" s="3" t="b">
        <f>FALSE()</f>
        <v>0</v>
      </c>
      <c r="F23" s="3" t="s">
        <v>703</v>
      </c>
      <c r="G23" s="3">
        <v>4</v>
      </c>
      <c r="H23" s="8"/>
      <c r="I23" s="8"/>
    </row>
    <row r="24" spans="1:9" ht="15" customHeight="1" x14ac:dyDescent="0.3">
      <c r="A24" s="2">
        <v>46045</v>
      </c>
      <c r="B24" s="3">
        <v>5</v>
      </c>
      <c r="C24" s="3">
        <v>1</v>
      </c>
      <c r="D24" s="3" t="b">
        <f>FALSE()</f>
        <v>0</v>
      </c>
      <c r="E24" s="3" t="b">
        <f>FALSE()</f>
        <v>0</v>
      </c>
      <c r="F24" s="3" t="s">
        <v>703</v>
      </c>
      <c r="G24" s="3">
        <v>4</v>
      </c>
      <c r="H24" s="8"/>
      <c r="I24" s="8"/>
    </row>
    <row r="25" spans="1:9" ht="15" customHeight="1" x14ac:dyDescent="0.3">
      <c r="A25" s="2">
        <v>46046</v>
      </c>
      <c r="B25" s="3">
        <v>6</v>
      </c>
      <c r="C25" s="3">
        <v>1</v>
      </c>
      <c r="D25" s="3" t="b">
        <f>TRUE()</f>
        <v>1</v>
      </c>
      <c r="E25" s="3" t="b">
        <f>FALSE()</f>
        <v>0</v>
      </c>
      <c r="F25" s="3" t="s">
        <v>703</v>
      </c>
      <c r="G25" s="3">
        <v>4</v>
      </c>
      <c r="H25" s="8"/>
      <c r="I25" s="8"/>
    </row>
    <row r="26" spans="1:9" ht="15" customHeight="1" x14ac:dyDescent="0.3">
      <c r="A26" s="2">
        <v>46047</v>
      </c>
      <c r="B26" s="3">
        <v>7</v>
      </c>
      <c r="C26" s="3">
        <v>1</v>
      </c>
      <c r="D26" s="3" t="b">
        <f>TRUE()</f>
        <v>1</v>
      </c>
      <c r="E26" s="3" t="b">
        <f>FALSE()</f>
        <v>0</v>
      </c>
      <c r="F26" s="3" t="s">
        <v>703</v>
      </c>
      <c r="G26" s="3">
        <v>4</v>
      </c>
      <c r="H26" s="8"/>
      <c r="I26" s="8"/>
    </row>
    <row r="27" spans="1:9" ht="15" customHeight="1" x14ac:dyDescent="0.3">
      <c r="A27" s="2">
        <v>46048</v>
      </c>
      <c r="B27" s="3">
        <v>1</v>
      </c>
      <c r="C27" s="3">
        <v>1</v>
      </c>
      <c r="D27" s="3" t="b">
        <f>FALSE()</f>
        <v>0</v>
      </c>
      <c r="E27" s="3" t="b">
        <f>FALSE()</f>
        <v>0</v>
      </c>
      <c r="F27" s="3" t="s">
        <v>703</v>
      </c>
      <c r="G27" s="3">
        <v>5</v>
      </c>
      <c r="H27" s="8"/>
      <c r="I27" s="8"/>
    </row>
    <row r="28" spans="1:9" ht="15" customHeight="1" x14ac:dyDescent="0.3">
      <c r="A28" s="2">
        <v>46049</v>
      </c>
      <c r="B28" s="3">
        <v>2</v>
      </c>
      <c r="C28" s="3">
        <v>1</v>
      </c>
      <c r="D28" s="3" t="b">
        <f>FALSE()</f>
        <v>0</v>
      </c>
      <c r="E28" s="3" t="b">
        <f>FALSE()</f>
        <v>0</v>
      </c>
      <c r="F28" s="3" t="s">
        <v>703</v>
      </c>
      <c r="G28" s="3">
        <v>5</v>
      </c>
      <c r="H28" s="8"/>
      <c r="I28" s="8"/>
    </row>
    <row r="29" spans="1:9" ht="15" customHeight="1" x14ac:dyDescent="0.3">
      <c r="A29" s="2">
        <v>46050</v>
      </c>
      <c r="B29" s="3">
        <v>3</v>
      </c>
      <c r="C29" s="3">
        <v>1</v>
      </c>
      <c r="D29" s="3" t="b">
        <f>FALSE()</f>
        <v>0</v>
      </c>
      <c r="E29" s="3" t="b">
        <f>FALSE()</f>
        <v>0</v>
      </c>
      <c r="F29" s="3" t="s">
        <v>703</v>
      </c>
      <c r="G29" s="3">
        <v>5</v>
      </c>
      <c r="H29" s="8"/>
      <c r="I29" s="8"/>
    </row>
    <row r="30" spans="1:9" ht="15" customHeight="1" x14ac:dyDescent="0.3">
      <c r="A30" s="2">
        <v>46051</v>
      </c>
      <c r="B30" s="3">
        <v>4</v>
      </c>
      <c r="C30" s="3">
        <v>1</v>
      </c>
      <c r="D30" s="3" t="b">
        <f>FALSE()</f>
        <v>0</v>
      </c>
      <c r="E30" s="3" t="b">
        <f>FALSE()</f>
        <v>0</v>
      </c>
      <c r="F30" s="3" t="s">
        <v>703</v>
      </c>
      <c r="G30" s="3">
        <v>5</v>
      </c>
      <c r="H30" s="8"/>
      <c r="I30" s="8"/>
    </row>
    <row r="31" spans="1:9" ht="15" customHeight="1" x14ac:dyDescent="0.3">
      <c r="A31" s="2">
        <v>46052</v>
      </c>
      <c r="B31" s="3">
        <v>5</v>
      </c>
      <c r="C31" s="3">
        <v>1</v>
      </c>
      <c r="D31" s="3" t="b">
        <f>FALSE()</f>
        <v>0</v>
      </c>
      <c r="E31" s="3" t="b">
        <f>FALSE()</f>
        <v>0</v>
      </c>
      <c r="F31" s="3" t="s">
        <v>703</v>
      </c>
      <c r="G31" s="3">
        <v>5</v>
      </c>
      <c r="H31" s="8"/>
      <c r="I31" s="8"/>
    </row>
    <row r="32" spans="1:9" ht="15" customHeight="1" x14ac:dyDescent="0.3">
      <c r="A32" s="2">
        <v>46053</v>
      </c>
      <c r="B32" s="3">
        <v>6</v>
      </c>
      <c r="C32" s="3">
        <v>1</v>
      </c>
      <c r="D32" s="3" t="b">
        <f>TRUE()</f>
        <v>1</v>
      </c>
      <c r="E32" s="3" t="b">
        <f>FALSE()</f>
        <v>0</v>
      </c>
      <c r="F32" s="3" t="s">
        <v>703</v>
      </c>
      <c r="G32" s="3">
        <v>5</v>
      </c>
      <c r="H32" s="8"/>
      <c r="I32" s="8"/>
    </row>
    <row r="33" spans="1:9" ht="15" customHeight="1" x14ac:dyDescent="0.3">
      <c r="A33" s="2">
        <v>46054</v>
      </c>
      <c r="B33" s="3">
        <v>7</v>
      </c>
      <c r="C33" s="3">
        <v>2</v>
      </c>
      <c r="D33" s="3" t="b">
        <f>TRUE()</f>
        <v>1</v>
      </c>
      <c r="E33" s="3" t="b">
        <f>FALSE()</f>
        <v>0</v>
      </c>
      <c r="F33" s="3" t="s">
        <v>703</v>
      </c>
      <c r="G33" s="3">
        <v>5</v>
      </c>
      <c r="H33" s="8"/>
      <c r="I33" s="8"/>
    </row>
    <row r="34" spans="1:9" ht="15" customHeight="1" x14ac:dyDescent="0.3">
      <c r="A34" s="2">
        <v>46055</v>
      </c>
      <c r="B34" s="3">
        <v>1</v>
      </c>
      <c r="C34" s="3">
        <v>2</v>
      </c>
      <c r="D34" s="3" t="b">
        <f>FALSE()</f>
        <v>0</v>
      </c>
      <c r="E34" s="3" t="b">
        <f>FALSE()</f>
        <v>0</v>
      </c>
      <c r="F34" s="3" t="s">
        <v>703</v>
      </c>
      <c r="G34" s="3">
        <v>6</v>
      </c>
      <c r="H34" s="8"/>
      <c r="I34" s="8"/>
    </row>
    <row r="35" spans="1:9" ht="15" customHeight="1" x14ac:dyDescent="0.3">
      <c r="A35" s="2">
        <v>46056</v>
      </c>
      <c r="B35" s="3">
        <v>2</v>
      </c>
      <c r="C35" s="3">
        <v>2</v>
      </c>
      <c r="D35" s="3" t="b">
        <f>FALSE()</f>
        <v>0</v>
      </c>
      <c r="E35" s="3" t="b">
        <f>FALSE()</f>
        <v>0</v>
      </c>
      <c r="F35" s="3" t="s">
        <v>703</v>
      </c>
      <c r="G35" s="3">
        <v>6</v>
      </c>
      <c r="H35" s="8"/>
      <c r="I35" s="8"/>
    </row>
    <row r="36" spans="1:9" ht="15" customHeight="1" x14ac:dyDescent="0.3">
      <c r="A36" s="2">
        <v>46057</v>
      </c>
      <c r="B36" s="3">
        <v>3</v>
      </c>
      <c r="C36" s="3">
        <v>2</v>
      </c>
      <c r="D36" s="3" t="b">
        <f>FALSE()</f>
        <v>0</v>
      </c>
      <c r="E36" s="3" t="b">
        <f>FALSE()</f>
        <v>0</v>
      </c>
      <c r="F36" s="3" t="s">
        <v>703</v>
      </c>
      <c r="G36" s="3">
        <v>6</v>
      </c>
      <c r="H36" s="8"/>
      <c r="I36" s="8"/>
    </row>
    <row r="37" spans="1:9" ht="15" customHeight="1" x14ac:dyDescent="0.3">
      <c r="A37" s="2">
        <v>46058</v>
      </c>
      <c r="B37" s="3">
        <v>4</v>
      </c>
      <c r="C37" s="3">
        <v>2</v>
      </c>
      <c r="D37" s="3" t="b">
        <f>FALSE()</f>
        <v>0</v>
      </c>
      <c r="E37" s="3" t="b">
        <f>FALSE()</f>
        <v>0</v>
      </c>
      <c r="F37" s="3" t="s">
        <v>703</v>
      </c>
      <c r="G37" s="3">
        <v>6</v>
      </c>
      <c r="H37" s="8"/>
      <c r="I37" s="8"/>
    </row>
    <row r="38" spans="1:9" ht="15" customHeight="1" x14ac:dyDescent="0.3">
      <c r="A38" s="2">
        <v>46059</v>
      </c>
      <c r="B38" s="3">
        <v>5</v>
      </c>
      <c r="C38" s="3">
        <v>2</v>
      </c>
      <c r="D38" s="3" t="b">
        <f>FALSE()</f>
        <v>0</v>
      </c>
      <c r="E38" s="3" t="b">
        <f>FALSE()</f>
        <v>0</v>
      </c>
      <c r="F38" s="3" t="s">
        <v>703</v>
      </c>
      <c r="G38" s="3">
        <v>6</v>
      </c>
      <c r="H38" s="8"/>
      <c r="I38" s="8"/>
    </row>
    <row r="39" spans="1:9" ht="15" customHeight="1" x14ac:dyDescent="0.3">
      <c r="A39" s="2">
        <v>46060</v>
      </c>
      <c r="B39" s="3">
        <v>6</v>
      </c>
      <c r="C39" s="3">
        <v>2</v>
      </c>
      <c r="D39" s="3" t="b">
        <f>TRUE()</f>
        <v>1</v>
      </c>
      <c r="E39" s="3" t="b">
        <f>FALSE()</f>
        <v>0</v>
      </c>
      <c r="F39" s="3" t="s">
        <v>703</v>
      </c>
      <c r="G39" s="3">
        <v>6</v>
      </c>
      <c r="H39" s="8"/>
      <c r="I39" s="8"/>
    </row>
    <row r="40" spans="1:9" ht="15" customHeight="1" x14ac:dyDescent="0.3">
      <c r="A40" s="2">
        <v>46061</v>
      </c>
      <c r="B40" s="3">
        <v>7</v>
      </c>
      <c r="C40" s="3">
        <v>2</v>
      </c>
      <c r="D40" s="3" t="b">
        <f>TRUE()</f>
        <v>1</v>
      </c>
      <c r="E40" s="3" t="b">
        <f>FALSE()</f>
        <v>0</v>
      </c>
      <c r="F40" s="3" t="s">
        <v>703</v>
      </c>
      <c r="G40" s="3">
        <v>6</v>
      </c>
      <c r="H40" s="8"/>
      <c r="I40" s="8"/>
    </row>
    <row r="41" spans="1:9" ht="15" customHeight="1" x14ac:dyDescent="0.3">
      <c r="A41" s="2">
        <v>46062</v>
      </c>
      <c r="B41" s="3">
        <v>1</v>
      </c>
      <c r="C41" s="3">
        <v>2</v>
      </c>
      <c r="D41" s="3" t="b">
        <f>FALSE()</f>
        <v>0</v>
      </c>
      <c r="E41" s="3" t="b">
        <f>FALSE()</f>
        <v>0</v>
      </c>
      <c r="F41" s="3" t="s">
        <v>703</v>
      </c>
      <c r="G41" s="3">
        <v>7</v>
      </c>
      <c r="H41" s="8"/>
      <c r="I41" s="8"/>
    </row>
    <row r="42" spans="1:9" ht="15" customHeight="1" x14ac:dyDescent="0.3">
      <c r="A42" s="2">
        <v>46063</v>
      </c>
      <c r="B42" s="3">
        <v>2</v>
      </c>
      <c r="C42" s="3">
        <v>2</v>
      </c>
      <c r="D42" s="3" t="b">
        <f>FALSE()</f>
        <v>0</v>
      </c>
      <c r="E42" s="3" t="b">
        <f>FALSE()</f>
        <v>0</v>
      </c>
      <c r="F42" s="3" t="s">
        <v>703</v>
      </c>
      <c r="G42" s="3">
        <v>7</v>
      </c>
      <c r="H42" s="8"/>
      <c r="I42" s="8"/>
    </row>
    <row r="43" spans="1:9" ht="15" customHeight="1" x14ac:dyDescent="0.3">
      <c r="A43" s="2">
        <v>46064</v>
      </c>
      <c r="B43" s="3">
        <v>3</v>
      </c>
      <c r="C43" s="3">
        <v>2</v>
      </c>
      <c r="D43" s="3" t="b">
        <f>FALSE()</f>
        <v>0</v>
      </c>
      <c r="E43" s="3" t="b">
        <f>FALSE()</f>
        <v>0</v>
      </c>
      <c r="F43" s="3" t="s">
        <v>703</v>
      </c>
      <c r="G43" s="3">
        <v>7</v>
      </c>
      <c r="H43" s="8"/>
      <c r="I43" s="8"/>
    </row>
    <row r="44" spans="1:9" ht="15" customHeight="1" x14ac:dyDescent="0.3">
      <c r="A44" s="2">
        <v>46065</v>
      </c>
      <c r="B44" s="3">
        <v>4</v>
      </c>
      <c r="C44" s="3">
        <v>2</v>
      </c>
      <c r="D44" s="3" t="b">
        <f>FALSE()</f>
        <v>0</v>
      </c>
      <c r="E44" s="3" t="b">
        <f>FALSE()</f>
        <v>0</v>
      </c>
      <c r="F44" s="3" t="s">
        <v>703</v>
      </c>
      <c r="G44" s="3">
        <v>7</v>
      </c>
      <c r="H44" s="8"/>
      <c r="I44" s="8"/>
    </row>
    <row r="45" spans="1:9" ht="15" customHeight="1" x14ac:dyDescent="0.3">
      <c r="A45" s="2">
        <v>46066</v>
      </c>
      <c r="B45" s="3">
        <v>5</v>
      </c>
      <c r="C45" s="3">
        <v>2</v>
      </c>
      <c r="D45" s="3" t="b">
        <f>FALSE()</f>
        <v>0</v>
      </c>
      <c r="E45" s="3" t="b">
        <f>FALSE()</f>
        <v>0</v>
      </c>
      <c r="F45" s="3" t="s">
        <v>703</v>
      </c>
      <c r="G45" s="3">
        <v>7</v>
      </c>
      <c r="H45" s="8"/>
      <c r="I45" s="8"/>
    </row>
    <row r="46" spans="1:9" ht="15" customHeight="1" x14ac:dyDescent="0.3">
      <c r="A46" s="2">
        <v>46067</v>
      </c>
      <c r="B46" s="3">
        <v>6</v>
      </c>
      <c r="C46" s="3">
        <v>2</v>
      </c>
      <c r="D46" s="3" t="b">
        <f>TRUE()</f>
        <v>1</v>
      </c>
      <c r="E46" s="3" t="b">
        <f>FALSE()</f>
        <v>0</v>
      </c>
      <c r="F46" s="3" t="s">
        <v>703</v>
      </c>
      <c r="G46" s="3">
        <v>7</v>
      </c>
      <c r="H46" s="8"/>
      <c r="I46" s="8"/>
    </row>
    <row r="47" spans="1:9" ht="15" customHeight="1" x14ac:dyDescent="0.3">
      <c r="A47" s="2">
        <v>46068</v>
      </c>
      <c r="B47" s="3">
        <v>7</v>
      </c>
      <c r="C47" s="3">
        <v>2</v>
      </c>
      <c r="D47" s="3" t="b">
        <f>TRUE()</f>
        <v>1</v>
      </c>
      <c r="E47" s="3" t="b">
        <f>FALSE()</f>
        <v>0</v>
      </c>
      <c r="F47" s="3" t="s">
        <v>703</v>
      </c>
      <c r="G47" s="3">
        <v>7</v>
      </c>
      <c r="H47" s="8"/>
      <c r="I47" s="8"/>
    </row>
    <row r="48" spans="1:9" ht="15" customHeight="1" x14ac:dyDescent="0.3">
      <c r="A48" s="2">
        <v>46069</v>
      </c>
      <c r="B48" s="3">
        <v>1</v>
      </c>
      <c r="C48" s="3">
        <v>2</v>
      </c>
      <c r="D48" s="3" t="b">
        <f>FALSE()</f>
        <v>0</v>
      </c>
      <c r="E48" s="3" t="b">
        <f>FALSE()</f>
        <v>0</v>
      </c>
      <c r="F48" s="3" t="s">
        <v>703</v>
      </c>
      <c r="G48" s="3">
        <v>8</v>
      </c>
      <c r="H48" s="8"/>
      <c r="I48" s="8"/>
    </row>
    <row r="49" spans="1:9" ht="15" customHeight="1" x14ac:dyDescent="0.3">
      <c r="A49" s="2">
        <v>46070</v>
      </c>
      <c r="B49" s="3">
        <v>2</v>
      </c>
      <c r="C49" s="3">
        <v>2</v>
      </c>
      <c r="D49" s="3" t="b">
        <f>FALSE()</f>
        <v>0</v>
      </c>
      <c r="E49" s="3" t="b">
        <f>FALSE()</f>
        <v>0</v>
      </c>
      <c r="F49" s="3" t="s">
        <v>703</v>
      </c>
      <c r="G49" s="3">
        <v>8</v>
      </c>
      <c r="H49" s="8"/>
      <c r="I49" s="8"/>
    </row>
    <row r="50" spans="1:9" ht="15" customHeight="1" x14ac:dyDescent="0.3">
      <c r="A50" s="2">
        <v>46071</v>
      </c>
      <c r="B50" s="3">
        <v>3</v>
      </c>
      <c r="C50" s="3">
        <v>2</v>
      </c>
      <c r="D50" s="3" t="b">
        <f>FALSE()</f>
        <v>0</v>
      </c>
      <c r="E50" s="3" t="b">
        <f>FALSE()</f>
        <v>0</v>
      </c>
      <c r="F50" s="3" t="s">
        <v>703</v>
      </c>
      <c r="G50" s="3">
        <v>8</v>
      </c>
      <c r="H50" s="8"/>
      <c r="I50" s="8"/>
    </row>
    <row r="51" spans="1:9" ht="15" customHeight="1" x14ac:dyDescent="0.3">
      <c r="A51" s="2">
        <v>46072</v>
      </c>
      <c r="B51" s="3">
        <v>4</v>
      </c>
      <c r="C51" s="3">
        <v>2</v>
      </c>
      <c r="D51" s="3" t="b">
        <f>FALSE()</f>
        <v>0</v>
      </c>
      <c r="E51" s="3" t="b">
        <f>FALSE()</f>
        <v>0</v>
      </c>
      <c r="F51" s="3" t="s">
        <v>703</v>
      </c>
      <c r="G51" s="3">
        <v>8</v>
      </c>
      <c r="H51" s="8"/>
      <c r="I51" s="8"/>
    </row>
    <row r="52" spans="1:9" ht="15" customHeight="1" x14ac:dyDescent="0.3">
      <c r="A52" s="2">
        <v>46073</v>
      </c>
      <c r="B52" s="3">
        <v>5</v>
      </c>
      <c r="C52" s="3">
        <v>2</v>
      </c>
      <c r="D52" s="3" t="b">
        <f>FALSE()</f>
        <v>0</v>
      </c>
      <c r="E52" s="3" t="b">
        <f>FALSE()</f>
        <v>0</v>
      </c>
      <c r="F52" s="3" t="s">
        <v>703</v>
      </c>
      <c r="G52" s="3">
        <v>8</v>
      </c>
      <c r="H52" s="8"/>
      <c r="I52" s="8"/>
    </row>
    <row r="53" spans="1:9" ht="15" customHeight="1" x14ac:dyDescent="0.3">
      <c r="A53" s="2">
        <v>46074</v>
      </c>
      <c r="B53" s="3">
        <v>6</v>
      </c>
      <c r="C53" s="3">
        <v>2</v>
      </c>
      <c r="D53" s="3" t="b">
        <f>TRUE()</f>
        <v>1</v>
      </c>
      <c r="E53" s="3" t="b">
        <f>FALSE()</f>
        <v>0</v>
      </c>
      <c r="F53" s="3" t="s">
        <v>703</v>
      </c>
      <c r="G53" s="3">
        <v>8</v>
      </c>
      <c r="H53" s="8"/>
      <c r="I53" s="8"/>
    </row>
    <row r="54" spans="1:9" ht="15" customHeight="1" x14ac:dyDescent="0.3">
      <c r="A54" s="2">
        <v>46075</v>
      </c>
      <c r="B54" s="3">
        <v>7</v>
      </c>
      <c r="C54" s="3">
        <v>2</v>
      </c>
      <c r="D54" s="3" t="b">
        <f>TRUE()</f>
        <v>1</v>
      </c>
      <c r="E54" s="3" t="b">
        <f>FALSE()</f>
        <v>0</v>
      </c>
      <c r="F54" s="3" t="s">
        <v>703</v>
      </c>
      <c r="G54" s="3">
        <v>8</v>
      </c>
      <c r="H54" s="8"/>
      <c r="I54" s="8"/>
    </row>
    <row r="55" spans="1:9" ht="15" customHeight="1" x14ac:dyDescent="0.3">
      <c r="A55" s="2">
        <v>46076</v>
      </c>
      <c r="B55" s="3">
        <v>1</v>
      </c>
      <c r="C55" s="3">
        <v>2</v>
      </c>
      <c r="D55" s="3" t="b">
        <f>FALSE()</f>
        <v>0</v>
      </c>
      <c r="E55" s="3" t="b">
        <f>FALSE()</f>
        <v>0</v>
      </c>
      <c r="F55" s="3" t="s">
        <v>703</v>
      </c>
      <c r="G55" s="3">
        <v>9</v>
      </c>
      <c r="H55" s="8"/>
      <c r="I55" s="8"/>
    </row>
    <row r="56" spans="1:9" ht="15" customHeight="1" x14ac:dyDescent="0.3">
      <c r="A56" s="2">
        <v>46077</v>
      </c>
      <c r="B56" s="3">
        <v>2</v>
      </c>
      <c r="C56" s="3">
        <v>2</v>
      </c>
      <c r="D56" s="3" t="b">
        <f>FALSE()</f>
        <v>0</v>
      </c>
      <c r="E56" s="3" t="b">
        <f>FALSE()</f>
        <v>0</v>
      </c>
      <c r="F56" s="3" t="s">
        <v>703</v>
      </c>
      <c r="G56" s="3">
        <v>9</v>
      </c>
      <c r="H56" s="8"/>
      <c r="I56" s="8"/>
    </row>
    <row r="57" spans="1:9" ht="15" customHeight="1" x14ac:dyDescent="0.3">
      <c r="A57" s="2">
        <v>46078</v>
      </c>
      <c r="B57" s="3">
        <v>3</v>
      </c>
      <c r="C57" s="3">
        <v>2</v>
      </c>
      <c r="D57" s="3" t="b">
        <f>FALSE()</f>
        <v>0</v>
      </c>
      <c r="E57" s="3" t="b">
        <f>FALSE()</f>
        <v>0</v>
      </c>
      <c r="F57" s="3" t="s">
        <v>703</v>
      </c>
      <c r="G57" s="3">
        <v>9</v>
      </c>
      <c r="H57" s="8"/>
      <c r="I57" s="8"/>
    </row>
    <row r="58" spans="1:9" ht="15" customHeight="1" x14ac:dyDescent="0.3">
      <c r="A58" s="2">
        <v>46079</v>
      </c>
      <c r="B58" s="3">
        <v>4</v>
      </c>
      <c r="C58" s="3">
        <v>2</v>
      </c>
      <c r="D58" s="3" t="b">
        <f>FALSE()</f>
        <v>0</v>
      </c>
      <c r="E58" s="3" t="b">
        <f>FALSE()</f>
        <v>0</v>
      </c>
      <c r="F58" s="3" t="s">
        <v>703</v>
      </c>
      <c r="G58" s="3">
        <v>9</v>
      </c>
      <c r="H58" s="8"/>
      <c r="I58" s="8"/>
    </row>
    <row r="59" spans="1:9" ht="15" customHeight="1" x14ac:dyDescent="0.3">
      <c r="A59" s="2">
        <v>46080</v>
      </c>
      <c r="B59" s="3">
        <v>5</v>
      </c>
      <c r="C59" s="3">
        <v>2</v>
      </c>
      <c r="D59" s="3" t="b">
        <f>FALSE()</f>
        <v>0</v>
      </c>
      <c r="E59" s="3" t="b">
        <f>FALSE()</f>
        <v>0</v>
      </c>
      <c r="F59" s="3" t="s">
        <v>703</v>
      </c>
      <c r="G59" s="3">
        <v>9</v>
      </c>
      <c r="H59" s="8"/>
      <c r="I59" s="8"/>
    </row>
    <row r="60" spans="1:9" ht="15" customHeight="1" x14ac:dyDescent="0.3">
      <c r="A60" s="2">
        <v>46081</v>
      </c>
      <c r="B60" s="3">
        <v>6</v>
      </c>
      <c r="C60" s="3">
        <v>2</v>
      </c>
      <c r="D60" s="3" t="b">
        <f>TRUE()</f>
        <v>1</v>
      </c>
      <c r="E60" s="3" t="b">
        <f>FALSE()</f>
        <v>0</v>
      </c>
      <c r="F60" s="3" t="s">
        <v>703</v>
      </c>
      <c r="G60" s="3">
        <v>9</v>
      </c>
      <c r="H60" s="8"/>
      <c r="I60" s="8"/>
    </row>
    <row r="61" spans="1:9" ht="15" customHeight="1" x14ac:dyDescent="0.3">
      <c r="A61" s="2">
        <v>46082</v>
      </c>
      <c r="B61" s="3">
        <v>7</v>
      </c>
      <c r="C61" s="3">
        <v>3</v>
      </c>
      <c r="D61" s="3" t="b">
        <f>TRUE()</f>
        <v>1</v>
      </c>
      <c r="E61" s="3" t="b">
        <f>FALSE()</f>
        <v>0</v>
      </c>
      <c r="F61" s="3" t="s">
        <v>704</v>
      </c>
      <c r="G61" s="3">
        <v>9</v>
      </c>
      <c r="H61" s="8"/>
      <c r="I61" s="8"/>
    </row>
    <row r="62" spans="1:9" ht="15" customHeight="1" x14ac:dyDescent="0.3">
      <c r="A62" s="2">
        <v>46083</v>
      </c>
      <c r="B62" s="3">
        <v>1</v>
      </c>
      <c r="C62" s="3">
        <v>3</v>
      </c>
      <c r="D62" s="3" t="b">
        <f>FALSE()</f>
        <v>0</v>
      </c>
      <c r="E62" s="3" t="b">
        <f>FALSE()</f>
        <v>0</v>
      </c>
      <c r="F62" s="3" t="s">
        <v>704</v>
      </c>
      <c r="G62" s="3">
        <v>10</v>
      </c>
      <c r="H62" s="8"/>
      <c r="I62" s="8"/>
    </row>
    <row r="63" spans="1:9" ht="15" customHeight="1" x14ac:dyDescent="0.3">
      <c r="A63" s="2">
        <v>46084</v>
      </c>
      <c r="B63" s="3">
        <v>2</v>
      </c>
      <c r="C63" s="3">
        <v>3</v>
      </c>
      <c r="D63" s="3" t="b">
        <f>FALSE()</f>
        <v>0</v>
      </c>
      <c r="E63" s="3" t="b">
        <f>FALSE()</f>
        <v>0</v>
      </c>
      <c r="F63" s="3" t="s">
        <v>704</v>
      </c>
      <c r="G63" s="3">
        <v>10</v>
      </c>
      <c r="H63" s="8"/>
      <c r="I63" s="8"/>
    </row>
    <row r="64" spans="1:9" ht="15" customHeight="1" x14ac:dyDescent="0.3">
      <c r="A64" s="2">
        <v>46085</v>
      </c>
      <c r="B64" s="3">
        <v>3</v>
      </c>
      <c r="C64" s="3">
        <v>3</v>
      </c>
      <c r="D64" s="3" t="b">
        <f>FALSE()</f>
        <v>0</v>
      </c>
      <c r="E64" s="3" t="b">
        <f>FALSE()</f>
        <v>0</v>
      </c>
      <c r="F64" s="3" t="s">
        <v>704</v>
      </c>
      <c r="G64" s="3">
        <v>10</v>
      </c>
      <c r="H64" s="8"/>
      <c r="I64" s="8"/>
    </row>
    <row r="65" spans="1:9" ht="15" customHeight="1" x14ac:dyDescent="0.3">
      <c r="A65" s="2">
        <v>46086</v>
      </c>
      <c r="B65" s="3">
        <v>4</v>
      </c>
      <c r="C65" s="3">
        <v>3</v>
      </c>
      <c r="D65" s="3" t="b">
        <f>FALSE()</f>
        <v>0</v>
      </c>
      <c r="E65" s="3" t="b">
        <f>FALSE()</f>
        <v>0</v>
      </c>
      <c r="F65" s="3" t="s">
        <v>704</v>
      </c>
      <c r="G65" s="3">
        <v>10</v>
      </c>
      <c r="H65" s="8"/>
      <c r="I65" s="8"/>
    </row>
    <row r="66" spans="1:9" ht="15" customHeight="1" x14ac:dyDescent="0.3">
      <c r="A66" s="2">
        <v>46087</v>
      </c>
      <c r="B66" s="3">
        <v>5</v>
      </c>
      <c r="C66" s="3">
        <v>3</v>
      </c>
      <c r="D66" s="3" t="b">
        <f>FALSE()</f>
        <v>0</v>
      </c>
      <c r="E66" s="3" t="b">
        <f>FALSE()</f>
        <v>0</v>
      </c>
      <c r="F66" s="3" t="s">
        <v>704</v>
      </c>
      <c r="G66" s="3">
        <v>10</v>
      </c>
      <c r="H66" s="8"/>
      <c r="I66" s="8"/>
    </row>
    <row r="67" spans="1:9" ht="15" customHeight="1" x14ac:dyDescent="0.3">
      <c r="A67" s="2">
        <v>46088</v>
      </c>
      <c r="B67" s="3">
        <v>6</v>
      </c>
      <c r="C67" s="3">
        <v>3</v>
      </c>
      <c r="D67" s="3" t="b">
        <f>TRUE()</f>
        <v>1</v>
      </c>
      <c r="E67" s="3" t="b">
        <f>FALSE()</f>
        <v>0</v>
      </c>
      <c r="F67" s="3" t="s">
        <v>704</v>
      </c>
      <c r="G67" s="3">
        <v>10</v>
      </c>
      <c r="H67" s="8"/>
      <c r="I67" s="8"/>
    </row>
    <row r="68" spans="1:9" ht="15" customHeight="1" x14ac:dyDescent="0.3">
      <c r="A68" s="2">
        <v>46089</v>
      </c>
      <c r="B68" s="3">
        <v>7</v>
      </c>
      <c r="C68" s="3">
        <v>3</v>
      </c>
      <c r="D68" s="3" t="b">
        <f>TRUE()</f>
        <v>1</v>
      </c>
      <c r="E68" s="3" t="b">
        <f>TRUE()</f>
        <v>1</v>
      </c>
      <c r="F68" s="3" t="s">
        <v>704</v>
      </c>
      <c r="G68" s="3">
        <v>10</v>
      </c>
      <c r="H68" s="8"/>
      <c r="I68" s="8"/>
    </row>
    <row r="69" spans="1:9" ht="15" customHeight="1" x14ac:dyDescent="0.3">
      <c r="A69" s="2">
        <v>46090</v>
      </c>
      <c r="B69" s="3">
        <v>1</v>
      </c>
      <c r="C69" s="3">
        <v>3</v>
      </c>
      <c r="D69" s="3" t="b">
        <f>FALSE()</f>
        <v>0</v>
      </c>
      <c r="E69" s="3" t="b">
        <f>FALSE()</f>
        <v>0</v>
      </c>
      <c r="F69" s="3" t="s">
        <v>704</v>
      </c>
      <c r="G69" s="3">
        <v>11</v>
      </c>
      <c r="H69" s="8"/>
      <c r="I69" s="8"/>
    </row>
    <row r="70" spans="1:9" ht="15" customHeight="1" x14ac:dyDescent="0.3">
      <c r="A70" s="2">
        <v>46091</v>
      </c>
      <c r="B70" s="3">
        <v>2</v>
      </c>
      <c r="C70" s="3">
        <v>3</v>
      </c>
      <c r="D70" s="3" t="b">
        <f>FALSE()</f>
        <v>0</v>
      </c>
      <c r="E70" s="3" t="b">
        <f>FALSE()</f>
        <v>0</v>
      </c>
      <c r="F70" s="3" t="s">
        <v>704</v>
      </c>
      <c r="G70" s="3">
        <v>11</v>
      </c>
      <c r="H70" s="8"/>
      <c r="I70" s="8"/>
    </row>
    <row r="71" spans="1:9" ht="15" customHeight="1" x14ac:dyDescent="0.3">
      <c r="A71" s="2">
        <v>46092</v>
      </c>
      <c r="B71" s="3">
        <v>3</v>
      </c>
      <c r="C71" s="3">
        <v>3</v>
      </c>
      <c r="D71" s="3" t="b">
        <f>FALSE()</f>
        <v>0</v>
      </c>
      <c r="E71" s="3" t="b">
        <f>FALSE()</f>
        <v>0</v>
      </c>
      <c r="F71" s="3" t="s">
        <v>704</v>
      </c>
      <c r="G71" s="3">
        <v>11</v>
      </c>
      <c r="H71" s="8"/>
      <c r="I71" s="8"/>
    </row>
    <row r="72" spans="1:9" ht="15" customHeight="1" x14ac:dyDescent="0.3">
      <c r="A72" s="2">
        <v>46093</v>
      </c>
      <c r="B72" s="3">
        <v>4</v>
      </c>
      <c r="C72" s="3">
        <v>3</v>
      </c>
      <c r="D72" s="3" t="b">
        <f>FALSE()</f>
        <v>0</v>
      </c>
      <c r="E72" s="3" t="b">
        <f>FALSE()</f>
        <v>0</v>
      </c>
      <c r="F72" s="3" t="s">
        <v>704</v>
      </c>
      <c r="G72" s="3">
        <v>11</v>
      </c>
      <c r="H72" s="8"/>
      <c r="I72" s="8"/>
    </row>
    <row r="73" spans="1:9" ht="15" customHeight="1" x14ac:dyDescent="0.3">
      <c r="A73" s="2">
        <v>46094</v>
      </c>
      <c r="B73" s="3">
        <v>5</v>
      </c>
      <c r="C73" s="3">
        <v>3</v>
      </c>
      <c r="D73" s="3" t="b">
        <f>FALSE()</f>
        <v>0</v>
      </c>
      <c r="E73" s="3" t="b">
        <f>FALSE()</f>
        <v>0</v>
      </c>
      <c r="F73" s="3" t="s">
        <v>704</v>
      </c>
      <c r="G73" s="3">
        <v>11</v>
      </c>
      <c r="H73" s="8"/>
      <c r="I73" s="8"/>
    </row>
    <row r="74" spans="1:9" ht="15" customHeight="1" x14ac:dyDescent="0.3">
      <c r="A74" s="2">
        <v>46095</v>
      </c>
      <c r="B74" s="3">
        <v>6</v>
      </c>
      <c r="C74" s="3">
        <v>3</v>
      </c>
      <c r="D74" s="3" t="b">
        <f>TRUE()</f>
        <v>1</v>
      </c>
      <c r="E74" s="3" t="b">
        <f>FALSE()</f>
        <v>0</v>
      </c>
      <c r="F74" s="3" t="s">
        <v>704</v>
      </c>
      <c r="G74" s="3">
        <v>11</v>
      </c>
      <c r="H74" s="8"/>
      <c r="I74" s="8"/>
    </row>
    <row r="75" spans="1:9" ht="15" customHeight="1" x14ac:dyDescent="0.3">
      <c r="A75" s="2">
        <v>46096</v>
      </c>
      <c r="B75" s="3">
        <v>7</v>
      </c>
      <c r="C75" s="3">
        <v>3</v>
      </c>
      <c r="D75" s="3" t="b">
        <f>TRUE()</f>
        <v>1</v>
      </c>
      <c r="E75" s="3" t="b">
        <f>FALSE()</f>
        <v>0</v>
      </c>
      <c r="F75" s="3" t="s">
        <v>704</v>
      </c>
      <c r="G75" s="3">
        <v>11</v>
      </c>
      <c r="H75" s="8"/>
      <c r="I75" s="8"/>
    </row>
    <row r="76" spans="1:9" ht="15" customHeight="1" x14ac:dyDescent="0.3">
      <c r="A76" s="2">
        <v>46097</v>
      </c>
      <c r="B76" s="3">
        <v>1</v>
      </c>
      <c r="C76" s="3">
        <v>3</v>
      </c>
      <c r="D76" s="3" t="b">
        <f>FALSE()</f>
        <v>0</v>
      </c>
      <c r="E76" s="3" t="b">
        <f>FALSE()</f>
        <v>0</v>
      </c>
      <c r="F76" s="3" t="s">
        <v>704</v>
      </c>
      <c r="G76" s="3">
        <v>12</v>
      </c>
      <c r="H76" s="8"/>
      <c r="I76" s="8"/>
    </row>
    <row r="77" spans="1:9" ht="15" customHeight="1" x14ac:dyDescent="0.3">
      <c r="A77" s="2">
        <v>46098</v>
      </c>
      <c r="B77" s="3">
        <v>2</v>
      </c>
      <c r="C77" s="3">
        <v>3</v>
      </c>
      <c r="D77" s="3" t="b">
        <f>FALSE()</f>
        <v>0</v>
      </c>
      <c r="E77" s="3" t="b">
        <f>FALSE()</f>
        <v>0</v>
      </c>
      <c r="F77" s="3" t="s">
        <v>704</v>
      </c>
      <c r="G77" s="3">
        <v>12</v>
      </c>
      <c r="H77" s="8"/>
      <c r="I77" s="8"/>
    </row>
    <row r="78" spans="1:9" ht="15" customHeight="1" x14ac:dyDescent="0.3">
      <c r="A78" s="2">
        <v>46099</v>
      </c>
      <c r="B78" s="3">
        <v>3</v>
      </c>
      <c r="C78" s="3">
        <v>3</v>
      </c>
      <c r="D78" s="3" t="b">
        <f>FALSE()</f>
        <v>0</v>
      </c>
      <c r="E78" s="3" t="b">
        <f>FALSE()</f>
        <v>0</v>
      </c>
      <c r="F78" s="3" t="s">
        <v>704</v>
      </c>
      <c r="G78" s="3">
        <v>12</v>
      </c>
      <c r="H78" s="8"/>
      <c r="I78" s="8"/>
    </row>
    <row r="79" spans="1:9" ht="15" customHeight="1" x14ac:dyDescent="0.3">
      <c r="A79" s="2">
        <v>46100</v>
      </c>
      <c r="B79" s="3">
        <v>4</v>
      </c>
      <c r="C79" s="3">
        <v>3</v>
      </c>
      <c r="D79" s="3" t="b">
        <f>FALSE()</f>
        <v>0</v>
      </c>
      <c r="E79" s="3" t="b">
        <f>FALSE()</f>
        <v>0</v>
      </c>
      <c r="F79" s="3" t="s">
        <v>704</v>
      </c>
      <c r="G79" s="3">
        <v>12</v>
      </c>
      <c r="H79" s="8"/>
      <c r="I79" s="8"/>
    </row>
    <row r="80" spans="1:9" ht="15" customHeight="1" x14ac:dyDescent="0.3">
      <c r="A80" s="2">
        <v>46101</v>
      </c>
      <c r="B80" s="3">
        <v>5</v>
      </c>
      <c r="C80" s="3">
        <v>3</v>
      </c>
      <c r="D80" s="3" t="b">
        <f>FALSE()</f>
        <v>0</v>
      </c>
      <c r="E80" s="3" t="b">
        <f>FALSE()</f>
        <v>0</v>
      </c>
      <c r="F80" s="3" t="s">
        <v>704</v>
      </c>
      <c r="G80" s="3">
        <v>12</v>
      </c>
      <c r="H80" s="8"/>
      <c r="I80" s="8"/>
    </row>
    <row r="81" spans="1:9" ht="15" customHeight="1" x14ac:dyDescent="0.3">
      <c r="A81" s="2">
        <v>46102</v>
      </c>
      <c r="B81" s="3">
        <v>6</v>
      </c>
      <c r="C81" s="3">
        <v>3</v>
      </c>
      <c r="D81" s="3" t="b">
        <f>TRUE()</f>
        <v>1</v>
      </c>
      <c r="E81" s="3" t="b">
        <f>FALSE()</f>
        <v>0</v>
      </c>
      <c r="F81" s="3" t="s">
        <v>704</v>
      </c>
      <c r="G81" s="3">
        <v>12</v>
      </c>
      <c r="H81" s="8"/>
      <c r="I81" s="8"/>
    </row>
    <row r="82" spans="1:9" ht="15" customHeight="1" x14ac:dyDescent="0.3">
      <c r="A82" s="2">
        <v>46103</v>
      </c>
      <c r="B82" s="3">
        <v>7</v>
      </c>
      <c r="C82" s="3">
        <v>3</v>
      </c>
      <c r="D82" s="3" t="b">
        <f>TRUE()</f>
        <v>1</v>
      </c>
      <c r="E82" s="3" t="b">
        <f>FALSE()</f>
        <v>0</v>
      </c>
      <c r="F82" s="3" t="s">
        <v>704</v>
      </c>
      <c r="G82" s="3">
        <v>12</v>
      </c>
      <c r="H82" s="8"/>
      <c r="I82" s="8"/>
    </row>
    <row r="83" spans="1:9" ht="15" customHeight="1" x14ac:dyDescent="0.3">
      <c r="A83" s="2">
        <v>46104</v>
      </c>
      <c r="B83" s="3">
        <v>1</v>
      </c>
      <c r="C83" s="3">
        <v>3</v>
      </c>
      <c r="D83" s="3" t="b">
        <f>FALSE()</f>
        <v>0</v>
      </c>
      <c r="E83" s="3" t="b">
        <f>FALSE()</f>
        <v>0</v>
      </c>
      <c r="F83" s="3" t="s">
        <v>704</v>
      </c>
      <c r="G83" s="3">
        <v>13</v>
      </c>
      <c r="H83" s="8"/>
      <c r="I83" s="8"/>
    </row>
    <row r="84" spans="1:9" ht="15" customHeight="1" x14ac:dyDescent="0.3">
      <c r="A84" s="2">
        <v>46105</v>
      </c>
      <c r="B84" s="3">
        <v>2</v>
      </c>
      <c r="C84" s="3">
        <v>3</v>
      </c>
      <c r="D84" s="3" t="b">
        <f>FALSE()</f>
        <v>0</v>
      </c>
      <c r="E84" s="3" t="b">
        <f>FALSE()</f>
        <v>0</v>
      </c>
      <c r="F84" s="3" t="s">
        <v>704</v>
      </c>
      <c r="G84" s="3">
        <v>13</v>
      </c>
      <c r="H84" s="8"/>
      <c r="I84" s="8"/>
    </row>
    <row r="85" spans="1:9" ht="15" customHeight="1" x14ac:dyDescent="0.3">
      <c r="A85" s="2">
        <v>46106</v>
      </c>
      <c r="B85" s="3">
        <v>3</v>
      </c>
      <c r="C85" s="3">
        <v>3</v>
      </c>
      <c r="D85" s="3" t="b">
        <f>FALSE()</f>
        <v>0</v>
      </c>
      <c r="E85" s="3" t="b">
        <f>FALSE()</f>
        <v>0</v>
      </c>
      <c r="F85" s="3" t="s">
        <v>704</v>
      </c>
      <c r="G85" s="3">
        <v>13</v>
      </c>
      <c r="H85" s="8"/>
      <c r="I85" s="8"/>
    </row>
    <row r="86" spans="1:9" ht="15" customHeight="1" x14ac:dyDescent="0.3">
      <c r="A86" s="2">
        <v>46107</v>
      </c>
      <c r="B86" s="3">
        <v>4</v>
      </c>
      <c r="C86" s="3">
        <v>3</v>
      </c>
      <c r="D86" s="3" t="b">
        <f>FALSE()</f>
        <v>0</v>
      </c>
      <c r="E86" s="3" t="b">
        <f>FALSE()</f>
        <v>0</v>
      </c>
      <c r="F86" s="3" t="s">
        <v>704</v>
      </c>
      <c r="G86" s="3">
        <v>13</v>
      </c>
      <c r="H86" s="8"/>
      <c r="I86" s="8"/>
    </row>
    <row r="87" spans="1:9" ht="15" customHeight="1" x14ac:dyDescent="0.3">
      <c r="A87" s="2">
        <v>46108</v>
      </c>
      <c r="B87" s="3">
        <v>5</v>
      </c>
      <c r="C87" s="3">
        <v>3</v>
      </c>
      <c r="D87" s="3" t="b">
        <f>FALSE()</f>
        <v>0</v>
      </c>
      <c r="E87" s="3" t="b">
        <f>FALSE()</f>
        <v>0</v>
      </c>
      <c r="F87" s="3" t="s">
        <v>704</v>
      </c>
      <c r="G87" s="3">
        <v>13</v>
      </c>
      <c r="H87" s="8"/>
      <c r="I87" s="8"/>
    </row>
    <row r="88" spans="1:9" ht="15" customHeight="1" x14ac:dyDescent="0.3">
      <c r="A88" s="2">
        <v>46109</v>
      </c>
      <c r="B88" s="3">
        <v>6</v>
      </c>
      <c r="C88" s="3">
        <v>3</v>
      </c>
      <c r="D88" s="3" t="b">
        <f>TRUE()</f>
        <v>1</v>
      </c>
      <c r="E88" s="3" t="b">
        <f>FALSE()</f>
        <v>0</v>
      </c>
      <c r="F88" s="3" t="s">
        <v>704</v>
      </c>
      <c r="G88" s="3">
        <v>13</v>
      </c>
      <c r="H88" s="8"/>
      <c r="I88" s="8"/>
    </row>
    <row r="89" spans="1:9" ht="15" customHeight="1" x14ac:dyDescent="0.3">
      <c r="A89" s="2">
        <v>46110</v>
      </c>
      <c r="B89" s="3">
        <v>7</v>
      </c>
      <c r="C89" s="3">
        <v>3</v>
      </c>
      <c r="D89" s="3" t="b">
        <f>TRUE()</f>
        <v>1</v>
      </c>
      <c r="E89" s="3" t="b">
        <f>FALSE()</f>
        <v>0</v>
      </c>
      <c r="F89" s="3" t="s">
        <v>704</v>
      </c>
      <c r="G89" s="3">
        <v>13</v>
      </c>
      <c r="H89" s="8"/>
      <c r="I89" s="8"/>
    </row>
    <row r="90" spans="1:9" ht="15" customHeight="1" x14ac:dyDescent="0.3">
      <c r="A90" s="2">
        <v>46111</v>
      </c>
      <c r="B90" s="3">
        <v>1</v>
      </c>
      <c r="C90" s="3">
        <v>3</v>
      </c>
      <c r="D90" s="3" t="b">
        <f>FALSE()</f>
        <v>0</v>
      </c>
      <c r="E90" s="3" t="b">
        <f>FALSE()</f>
        <v>0</v>
      </c>
      <c r="F90" s="3" t="s">
        <v>704</v>
      </c>
      <c r="G90" s="3">
        <v>14</v>
      </c>
      <c r="H90" s="8"/>
      <c r="I90" s="8"/>
    </row>
    <row r="91" spans="1:9" ht="15" customHeight="1" x14ac:dyDescent="0.3">
      <c r="A91" s="2">
        <v>46112</v>
      </c>
      <c r="B91" s="3">
        <v>2</v>
      </c>
      <c r="C91" s="3">
        <v>3</v>
      </c>
      <c r="D91" s="3" t="b">
        <f>FALSE()</f>
        <v>0</v>
      </c>
      <c r="E91" s="3" t="b">
        <f>FALSE()</f>
        <v>0</v>
      </c>
      <c r="F91" s="3" t="s">
        <v>704</v>
      </c>
      <c r="G91" s="3">
        <v>14</v>
      </c>
      <c r="H91" s="8"/>
      <c r="I91" s="8"/>
    </row>
    <row r="92" spans="1:9" ht="15" customHeight="1" x14ac:dyDescent="0.3">
      <c r="A92" s="2">
        <v>46113</v>
      </c>
      <c r="B92" s="3">
        <v>3</v>
      </c>
      <c r="C92" s="3">
        <v>4</v>
      </c>
      <c r="D92" s="3" t="b">
        <f>FALSE()</f>
        <v>0</v>
      </c>
      <c r="E92" s="3" t="b">
        <f>FALSE()</f>
        <v>0</v>
      </c>
      <c r="F92" s="3" t="s">
        <v>704</v>
      </c>
      <c r="G92" s="3">
        <v>14</v>
      </c>
      <c r="H92" s="8"/>
      <c r="I92" s="8"/>
    </row>
    <row r="93" spans="1:9" ht="15" customHeight="1" x14ac:dyDescent="0.3">
      <c r="A93" s="2">
        <v>46114</v>
      </c>
      <c r="B93" s="3">
        <v>4</v>
      </c>
      <c r="C93" s="3">
        <v>4</v>
      </c>
      <c r="D93" s="3" t="b">
        <f>FALSE()</f>
        <v>0</v>
      </c>
      <c r="E93" s="3" t="b">
        <f>FALSE()</f>
        <v>0</v>
      </c>
      <c r="F93" s="3" t="s">
        <v>704</v>
      </c>
      <c r="G93" s="3">
        <v>14</v>
      </c>
      <c r="H93" s="8"/>
      <c r="I93" s="8"/>
    </row>
    <row r="94" spans="1:9" ht="15" customHeight="1" x14ac:dyDescent="0.3">
      <c r="A94" s="2">
        <v>46115</v>
      </c>
      <c r="B94" s="3">
        <v>5</v>
      </c>
      <c r="C94" s="3">
        <v>4</v>
      </c>
      <c r="D94" s="3" t="b">
        <f>FALSE()</f>
        <v>0</v>
      </c>
      <c r="E94" s="3" t="b">
        <f>FALSE()</f>
        <v>0</v>
      </c>
      <c r="F94" s="3" t="s">
        <v>704</v>
      </c>
      <c r="G94" s="3">
        <v>14</v>
      </c>
      <c r="H94" s="8"/>
      <c r="I94" s="8"/>
    </row>
    <row r="95" spans="1:9" ht="15" customHeight="1" x14ac:dyDescent="0.3">
      <c r="A95" s="2">
        <v>46116</v>
      </c>
      <c r="B95" s="3">
        <v>6</v>
      </c>
      <c r="C95" s="3">
        <v>4</v>
      </c>
      <c r="D95" s="3" t="b">
        <f>TRUE()</f>
        <v>1</v>
      </c>
      <c r="E95" s="3" t="b">
        <f>FALSE()</f>
        <v>0</v>
      </c>
      <c r="F95" s="3" t="s">
        <v>704</v>
      </c>
      <c r="G95" s="3">
        <v>14</v>
      </c>
      <c r="H95" s="8"/>
      <c r="I95" s="8"/>
    </row>
    <row r="96" spans="1:9" ht="15" customHeight="1" x14ac:dyDescent="0.3">
      <c r="A96" s="2">
        <v>46117</v>
      </c>
      <c r="B96" s="3">
        <v>7</v>
      </c>
      <c r="C96" s="3">
        <v>4</v>
      </c>
      <c r="D96" s="3" t="b">
        <f>TRUE()</f>
        <v>1</v>
      </c>
      <c r="E96" s="3" t="b">
        <f>FALSE()</f>
        <v>0</v>
      </c>
      <c r="F96" s="3" t="s">
        <v>704</v>
      </c>
      <c r="G96" s="3">
        <v>14</v>
      </c>
      <c r="H96" s="8"/>
      <c r="I96" s="8"/>
    </row>
    <row r="97" spans="1:9" ht="15" customHeight="1" x14ac:dyDescent="0.3">
      <c r="A97" s="2">
        <v>46118</v>
      </c>
      <c r="B97" s="3">
        <v>1</v>
      </c>
      <c r="C97" s="3">
        <v>4</v>
      </c>
      <c r="D97" s="3" t="b">
        <f>FALSE()</f>
        <v>0</v>
      </c>
      <c r="E97" s="3" t="b">
        <f>FALSE()</f>
        <v>0</v>
      </c>
      <c r="F97" s="3" t="s">
        <v>704</v>
      </c>
      <c r="G97" s="3">
        <v>15</v>
      </c>
      <c r="H97" s="8"/>
      <c r="I97" s="8"/>
    </row>
    <row r="98" spans="1:9" ht="15" customHeight="1" x14ac:dyDescent="0.3">
      <c r="A98" s="2">
        <v>46119</v>
      </c>
      <c r="B98" s="3">
        <v>2</v>
      </c>
      <c r="C98" s="3">
        <v>4</v>
      </c>
      <c r="D98" s="3" t="b">
        <f>FALSE()</f>
        <v>0</v>
      </c>
      <c r="E98" s="3" t="b">
        <f>FALSE()</f>
        <v>0</v>
      </c>
      <c r="F98" s="3" t="s">
        <v>704</v>
      </c>
      <c r="G98" s="3">
        <v>15</v>
      </c>
      <c r="H98" s="8"/>
      <c r="I98" s="8"/>
    </row>
    <row r="99" spans="1:9" ht="15" customHeight="1" x14ac:dyDescent="0.3">
      <c r="A99" s="2">
        <v>46120</v>
      </c>
      <c r="B99" s="3">
        <v>3</v>
      </c>
      <c r="C99" s="3">
        <v>4</v>
      </c>
      <c r="D99" s="3" t="b">
        <f>FALSE()</f>
        <v>0</v>
      </c>
      <c r="E99" s="3" t="b">
        <f>FALSE()</f>
        <v>0</v>
      </c>
      <c r="F99" s="3" t="s">
        <v>704</v>
      </c>
      <c r="G99" s="3">
        <v>15</v>
      </c>
      <c r="H99" s="8"/>
      <c r="I99" s="8"/>
    </row>
    <row r="100" spans="1:9" ht="15" customHeight="1" x14ac:dyDescent="0.3">
      <c r="A100" s="2">
        <v>46121</v>
      </c>
      <c r="B100" s="3">
        <v>4</v>
      </c>
      <c r="C100" s="3">
        <v>4</v>
      </c>
      <c r="D100" s="3" t="b">
        <f>FALSE()</f>
        <v>0</v>
      </c>
      <c r="E100" s="3" t="b">
        <f>FALSE()</f>
        <v>0</v>
      </c>
      <c r="F100" s="3" t="s">
        <v>704</v>
      </c>
      <c r="G100" s="3">
        <v>15</v>
      </c>
      <c r="H100" s="8"/>
      <c r="I100" s="8"/>
    </row>
    <row r="101" spans="1:9" ht="15" customHeight="1" x14ac:dyDescent="0.3">
      <c r="A101" s="2">
        <v>46122</v>
      </c>
      <c r="B101" s="3">
        <v>5</v>
      </c>
      <c r="C101" s="3">
        <v>4</v>
      </c>
      <c r="D101" s="3" t="b">
        <f>FALSE()</f>
        <v>0</v>
      </c>
      <c r="E101" s="3" t="b">
        <f>FALSE()</f>
        <v>0</v>
      </c>
      <c r="F101" s="3" t="s">
        <v>704</v>
      </c>
      <c r="G101" s="3">
        <v>15</v>
      </c>
      <c r="H101" s="8"/>
      <c r="I101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1"/>
  <sheetViews>
    <sheetView showGridLines="0" zoomScaleNormal="100" workbookViewId="0">
      <selection sqref="A1:G101"/>
    </sheetView>
  </sheetViews>
  <sheetFormatPr defaultColWidth="8.6640625" defaultRowHeight="14.4" x14ac:dyDescent="0.3"/>
  <cols>
    <col min="1" max="2" width="12" style="1" customWidth="1"/>
    <col min="3" max="5" width="14" style="1" customWidth="1"/>
    <col min="6" max="6" width="22" style="1" customWidth="1"/>
  </cols>
  <sheetData>
    <row r="1" spans="1:7" ht="19.5" customHeight="1" x14ac:dyDescent="0.3">
      <c r="A1" s="7" t="s">
        <v>9</v>
      </c>
      <c r="B1" s="7" t="s">
        <v>1</v>
      </c>
      <c r="C1" s="7" t="s">
        <v>25</v>
      </c>
      <c r="D1" s="7" t="s">
        <v>26</v>
      </c>
      <c r="E1" s="7" t="s">
        <v>27</v>
      </c>
      <c r="F1" s="7" t="s">
        <v>28</v>
      </c>
      <c r="G1" s="8"/>
    </row>
    <row r="2" spans="1:7" ht="15" customHeight="1" x14ac:dyDescent="0.3">
      <c r="A2" s="3" t="s">
        <v>12</v>
      </c>
      <c r="B2" s="3" t="s">
        <v>85</v>
      </c>
      <c r="C2" s="2">
        <v>46037</v>
      </c>
      <c r="D2" s="2">
        <v>46047</v>
      </c>
      <c r="E2" s="3">
        <v>33.700000000000003</v>
      </c>
      <c r="F2" s="3" t="s">
        <v>705</v>
      </c>
      <c r="G2" s="8"/>
    </row>
    <row r="3" spans="1:7" ht="15" customHeight="1" x14ac:dyDescent="0.3">
      <c r="A3" s="3" t="s">
        <v>34</v>
      </c>
      <c r="B3" s="3" t="s">
        <v>125</v>
      </c>
      <c r="C3" s="2">
        <v>46065</v>
      </c>
      <c r="D3" s="2">
        <v>46068</v>
      </c>
      <c r="E3" s="3">
        <v>45.5</v>
      </c>
      <c r="F3" s="3" t="s">
        <v>705</v>
      </c>
      <c r="G3" s="8"/>
    </row>
    <row r="4" spans="1:7" ht="15" customHeight="1" x14ac:dyDescent="0.3">
      <c r="A4" s="3" t="s">
        <v>706</v>
      </c>
      <c r="B4" s="3" t="s">
        <v>133</v>
      </c>
      <c r="C4" s="2">
        <v>46066</v>
      </c>
      <c r="D4" s="2">
        <v>46077</v>
      </c>
      <c r="E4" s="3">
        <v>12.1</v>
      </c>
      <c r="F4" s="3" t="s">
        <v>705</v>
      </c>
      <c r="G4" s="8"/>
    </row>
    <row r="5" spans="1:7" ht="15" customHeight="1" x14ac:dyDescent="0.3">
      <c r="A5" s="3" t="s">
        <v>707</v>
      </c>
      <c r="B5" s="3" t="s">
        <v>150</v>
      </c>
      <c r="C5" s="2">
        <v>46060</v>
      </c>
      <c r="D5" s="2">
        <v>46067</v>
      </c>
      <c r="E5" s="3">
        <v>33.799999999999997</v>
      </c>
      <c r="F5" s="3" t="s">
        <v>705</v>
      </c>
      <c r="G5" s="8"/>
    </row>
    <row r="6" spans="1:7" ht="15" customHeight="1" x14ac:dyDescent="0.3">
      <c r="A6" s="3" t="s">
        <v>708</v>
      </c>
      <c r="B6" s="3" t="s">
        <v>238</v>
      </c>
      <c r="C6" s="2">
        <v>46039</v>
      </c>
      <c r="D6" s="2">
        <v>46049</v>
      </c>
      <c r="E6" s="3">
        <v>43</v>
      </c>
      <c r="F6" s="3" t="s">
        <v>36</v>
      </c>
      <c r="G6" s="8"/>
    </row>
    <row r="7" spans="1:7" ht="15" customHeight="1" x14ac:dyDescent="0.3">
      <c r="A7" s="3" t="s">
        <v>709</v>
      </c>
      <c r="B7" s="3" t="s">
        <v>160</v>
      </c>
      <c r="C7" s="2">
        <v>46077</v>
      </c>
      <c r="D7" s="2">
        <v>46087</v>
      </c>
      <c r="E7" s="3">
        <v>9.8000000000000007</v>
      </c>
      <c r="F7" s="3" t="s">
        <v>705</v>
      </c>
      <c r="G7" s="8"/>
    </row>
    <row r="8" spans="1:7" ht="15" customHeight="1" x14ac:dyDescent="0.3">
      <c r="A8" s="3" t="s">
        <v>710</v>
      </c>
      <c r="B8" s="3" t="s">
        <v>208</v>
      </c>
      <c r="C8" s="2">
        <v>46045</v>
      </c>
      <c r="D8" s="2">
        <v>46057</v>
      </c>
      <c r="E8" s="3">
        <v>18.3</v>
      </c>
      <c r="F8" s="3" t="s">
        <v>711</v>
      </c>
      <c r="G8" s="8"/>
    </row>
    <row r="9" spans="1:7" ht="15" customHeight="1" x14ac:dyDescent="0.3">
      <c r="A9" s="3" t="s">
        <v>712</v>
      </c>
      <c r="B9" s="3" t="s">
        <v>73</v>
      </c>
      <c r="C9" s="2">
        <v>46076</v>
      </c>
      <c r="D9" s="2">
        <v>46089</v>
      </c>
      <c r="E9" s="3">
        <v>22.8</v>
      </c>
      <c r="F9" s="3" t="s">
        <v>32</v>
      </c>
      <c r="G9" s="8"/>
    </row>
    <row r="10" spans="1:7" ht="15" customHeight="1" x14ac:dyDescent="0.3">
      <c r="A10" s="3" t="s">
        <v>713</v>
      </c>
      <c r="B10" s="3" t="s">
        <v>206</v>
      </c>
      <c r="C10" s="2">
        <v>46078</v>
      </c>
      <c r="D10" s="2">
        <v>46091</v>
      </c>
      <c r="E10" s="3">
        <v>40</v>
      </c>
      <c r="F10" s="3" t="s">
        <v>32</v>
      </c>
      <c r="G10" s="8"/>
    </row>
    <row r="11" spans="1:7" ht="15" customHeight="1" x14ac:dyDescent="0.3">
      <c r="A11" s="3" t="s">
        <v>714</v>
      </c>
      <c r="B11" s="3" t="s">
        <v>216</v>
      </c>
      <c r="C11" s="2">
        <v>46070</v>
      </c>
      <c r="D11" s="2">
        <v>46080</v>
      </c>
      <c r="E11" s="3">
        <v>42.5</v>
      </c>
      <c r="F11" s="3" t="s">
        <v>711</v>
      </c>
      <c r="G11" s="8"/>
    </row>
    <row r="12" spans="1:7" ht="15" customHeight="1" x14ac:dyDescent="0.3">
      <c r="A12" s="3" t="s">
        <v>715</v>
      </c>
      <c r="B12" s="3" t="s">
        <v>260</v>
      </c>
      <c r="C12" s="2">
        <v>46074</v>
      </c>
      <c r="D12" s="2">
        <v>46080</v>
      </c>
      <c r="E12" s="3">
        <v>32.299999999999997</v>
      </c>
      <c r="F12" s="3" t="s">
        <v>711</v>
      </c>
      <c r="G12" s="8"/>
    </row>
    <row r="13" spans="1:7" ht="15" customHeight="1" x14ac:dyDescent="0.3">
      <c r="A13" s="3" t="s">
        <v>716</v>
      </c>
      <c r="B13" s="3" t="s">
        <v>63</v>
      </c>
      <c r="C13" s="2">
        <v>46063</v>
      </c>
      <c r="D13" s="2">
        <v>46069</v>
      </c>
      <c r="E13" s="3">
        <v>32.9</v>
      </c>
      <c r="F13" s="3" t="s">
        <v>36</v>
      </c>
      <c r="G13" s="8"/>
    </row>
    <row r="14" spans="1:7" ht="15" customHeight="1" x14ac:dyDescent="0.3">
      <c r="A14" s="3" t="s">
        <v>717</v>
      </c>
      <c r="B14" s="3" t="s">
        <v>222</v>
      </c>
      <c r="C14" s="2">
        <v>46029</v>
      </c>
      <c r="D14" s="2">
        <v>46042</v>
      </c>
      <c r="E14" s="3">
        <v>34.1</v>
      </c>
      <c r="F14" s="3" t="s">
        <v>711</v>
      </c>
      <c r="G14" s="8"/>
    </row>
    <row r="15" spans="1:7" ht="15" customHeight="1" x14ac:dyDescent="0.3">
      <c r="A15" s="3" t="s">
        <v>718</v>
      </c>
      <c r="B15" s="3" t="s">
        <v>174</v>
      </c>
      <c r="C15" s="2">
        <v>46025</v>
      </c>
      <c r="D15" s="2">
        <v>46037</v>
      </c>
      <c r="E15" s="3">
        <v>21.4</v>
      </c>
      <c r="F15" s="3" t="s">
        <v>36</v>
      </c>
      <c r="G15" s="8"/>
    </row>
    <row r="16" spans="1:7" ht="15" customHeight="1" x14ac:dyDescent="0.3">
      <c r="A16" s="3" t="s">
        <v>719</v>
      </c>
      <c r="B16" s="3" t="s">
        <v>66</v>
      </c>
      <c r="C16" s="2">
        <v>46081</v>
      </c>
      <c r="D16" s="2">
        <v>46088</v>
      </c>
      <c r="E16" s="3">
        <v>19.7</v>
      </c>
      <c r="F16" s="3" t="s">
        <v>705</v>
      </c>
      <c r="G16" s="8"/>
    </row>
    <row r="17" spans="1:7" ht="15" customHeight="1" x14ac:dyDescent="0.3">
      <c r="A17" s="3" t="s">
        <v>720</v>
      </c>
      <c r="B17" s="3" t="s">
        <v>60</v>
      </c>
      <c r="C17" s="2">
        <v>46035</v>
      </c>
      <c r="D17" s="2">
        <v>46040</v>
      </c>
      <c r="E17" s="3">
        <v>40.4</v>
      </c>
      <c r="F17" s="3" t="s">
        <v>711</v>
      </c>
      <c r="G17" s="8"/>
    </row>
    <row r="18" spans="1:7" ht="15" customHeight="1" x14ac:dyDescent="0.3">
      <c r="A18" s="3" t="s">
        <v>721</v>
      </c>
      <c r="B18" s="3" t="s">
        <v>196</v>
      </c>
      <c r="C18" s="2">
        <v>46055</v>
      </c>
      <c r="D18" s="2">
        <v>46062</v>
      </c>
      <c r="E18" s="3">
        <v>42.4</v>
      </c>
      <c r="F18" s="3" t="s">
        <v>711</v>
      </c>
      <c r="G18" s="8"/>
    </row>
    <row r="19" spans="1:7" ht="15" customHeight="1" x14ac:dyDescent="0.3">
      <c r="A19" s="3" t="s">
        <v>722</v>
      </c>
      <c r="B19" s="3" t="s">
        <v>184</v>
      </c>
      <c r="C19" s="2">
        <v>46074</v>
      </c>
      <c r="D19" s="2">
        <v>46081</v>
      </c>
      <c r="E19" s="3">
        <v>38.6</v>
      </c>
      <c r="F19" s="3" t="s">
        <v>711</v>
      </c>
      <c r="G19" s="8"/>
    </row>
    <row r="20" spans="1:7" ht="15" customHeight="1" x14ac:dyDescent="0.3">
      <c r="A20" s="3" t="s">
        <v>723</v>
      </c>
      <c r="B20" s="3" t="s">
        <v>64</v>
      </c>
      <c r="C20" s="2">
        <v>46052</v>
      </c>
      <c r="D20" s="2">
        <v>46056</v>
      </c>
      <c r="E20" s="3">
        <v>11.3</v>
      </c>
      <c r="F20" s="3" t="s">
        <v>36</v>
      </c>
      <c r="G20" s="8"/>
    </row>
    <row r="21" spans="1:7" ht="15" customHeight="1" x14ac:dyDescent="0.3">
      <c r="A21" s="3" t="s">
        <v>724</v>
      </c>
      <c r="B21" s="3" t="s">
        <v>234</v>
      </c>
      <c r="C21" s="2">
        <v>46069</v>
      </c>
      <c r="D21" s="2">
        <v>46082</v>
      </c>
      <c r="E21" s="3">
        <v>49.1</v>
      </c>
      <c r="F21" s="3" t="s">
        <v>725</v>
      </c>
      <c r="G21" s="8"/>
    </row>
    <row r="22" spans="1:7" ht="15" customHeight="1" x14ac:dyDescent="0.3">
      <c r="A22" s="3" t="s">
        <v>726</v>
      </c>
      <c r="B22" s="3" t="s">
        <v>154</v>
      </c>
      <c r="C22" s="2">
        <v>46028</v>
      </c>
      <c r="D22" s="2">
        <v>46037</v>
      </c>
      <c r="E22" s="3">
        <v>5.6</v>
      </c>
      <c r="F22" s="3" t="s">
        <v>725</v>
      </c>
      <c r="G22" s="8"/>
    </row>
    <row r="23" spans="1:7" ht="15" customHeight="1" x14ac:dyDescent="0.3">
      <c r="A23" s="3" t="s">
        <v>727</v>
      </c>
      <c r="B23" s="3" t="s">
        <v>78</v>
      </c>
      <c r="C23" s="2">
        <v>46052</v>
      </c>
      <c r="D23" s="2">
        <v>46060</v>
      </c>
      <c r="E23" s="3">
        <v>35.299999999999997</v>
      </c>
      <c r="F23" s="3" t="s">
        <v>711</v>
      </c>
      <c r="G23" s="8"/>
    </row>
    <row r="24" spans="1:7" ht="15" customHeight="1" x14ac:dyDescent="0.3">
      <c r="A24" s="3" t="s">
        <v>728</v>
      </c>
      <c r="B24" s="3" t="s">
        <v>210</v>
      </c>
      <c r="C24" s="2">
        <v>46047</v>
      </c>
      <c r="D24" s="2">
        <v>46060</v>
      </c>
      <c r="E24" s="3">
        <v>47.3</v>
      </c>
      <c r="F24" s="3" t="s">
        <v>32</v>
      </c>
      <c r="G24" s="8"/>
    </row>
    <row r="25" spans="1:7" ht="15" customHeight="1" x14ac:dyDescent="0.3">
      <c r="A25" s="3" t="s">
        <v>729</v>
      </c>
      <c r="B25" s="3" t="s">
        <v>234</v>
      </c>
      <c r="C25" s="2">
        <v>46037</v>
      </c>
      <c r="D25" s="2">
        <v>46047</v>
      </c>
      <c r="E25" s="3">
        <v>6.1</v>
      </c>
      <c r="F25" s="3" t="s">
        <v>725</v>
      </c>
      <c r="G25" s="8"/>
    </row>
    <row r="26" spans="1:7" ht="15" customHeight="1" x14ac:dyDescent="0.3">
      <c r="A26" s="3" t="s">
        <v>730</v>
      </c>
      <c r="B26" s="3" t="s">
        <v>144</v>
      </c>
      <c r="C26" s="2">
        <v>46081</v>
      </c>
      <c r="D26" s="2">
        <v>46093</v>
      </c>
      <c r="E26" s="3">
        <v>15</v>
      </c>
      <c r="F26" s="3" t="s">
        <v>32</v>
      </c>
      <c r="G26" s="8"/>
    </row>
    <row r="27" spans="1:7" ht="15" customHeight="1" x14ac:dyDescent="0.3">
      <c r="A27" s="3" t="s">
        <v>731</v>
      </c>
      <c r="B27" s="3" t="s">
        <v>224</v>
      </c>
      <c r="C27" s="2">
        <v>46075</v>
      </c>
      <c r="D27" s="2">
        <v>46085</v>
      </c>
      <c r="E27" s="3">
        <v>45.9</v>
      </c>
      <c r="F27" s="3" t="s">
        <v>711</v>
      </c>
      <c r="G27" s="8"/>
    </row>
    <row r="28" spans="1:7" ht="15" customHeight="1" x14ac:dyDescent="0.3">
      <c r="A28" s="3" t="s">
        <v>732</v>
      </c>
      <c r="B28" s="3" t="s">
        <v>228</v>
      </c>
      <c r="C28" s="2">
        <v>46049</v>
      </c>
      <c r="D28" s="2">
        <v>46053</v>
      </c>
      <c r="E28" s="3">
        <v>11.3</v>
      </c>
      <c r="F28" s="3" t="s">
        <v>32</v>
      </c>
      <c r="G28" s="8"/>
    </row>
    <row r="29" spans="1:7" ht="15" customHeight="1" x14ac:dyDescent="0.3">
      <c r="A29" s="3" t="s">
        <v>733</v>
      </c>
      <c r="B29" s="3" t="s">
        <v>138</v>
      </c>
      <c r="C29" s="2">
        <v>46054</v>
      </c>
      <c r="D29" s="2">
        <v>46058</v>
      </c>
      <c r="E29" s="3">
        <v>9.4</v>
      </c>
      <c r="F29" s="3" t="s">
        <v>725</v>
      </c>
      <c r="G29" s="8"/>
    </row>
    <row r="30" spans="1:7" ht="15" customHeight="1" x14ac:dyDescent="0.3">
      <c r="A30" s="3" t="s">
        <v>734</v>
      </c>
      <c r="B30" s="3" t="s">
        <v>65</v>
      </c>
      <c r="C30" s="2">
        <v>46047</v>
      </c>
      <c r="D30" s="2">
        <v>46057</v>
      </c>
      <c r="E30" s="3">
        <v>21.7</v>
      </c>
      <c r="F30" s="3" t="s">
        <v>725</v>
      </c>
      <c r="G30" s="8"/>
    </row>
    <row r="31" spans="1:7" ht="15" customHeight="1" x14ac:dyDescent="0.3">
      <c r="A31" s="3" t="s">
        <v>735</v>
      </c>
      <c r="B31" s="3" t="s">
        <v>168</v>
      </c>
      <c r="C31" s="2">
        <v>46060</v>
      </c>
      <c r="D31" s="2">
        <v>46074</v>
      </c>
      <c r="E31" s="3">
        <v>37.700000000000003</v>
      </c>
      <c r="F31" s="3" t="s">
        <v>705</v>
      </c>
      <c r="G31" s="8"/>
    </row>
    <row r="32" spans="1:7" ht="15" customHeight="1" x14ac:dyDescent="0.3">
      <c r="A32" s="3" t="s">
        <v>736</v>
      </c>
      <c r="B32" s="3" t="s">
        <v>228</v>
      </c>
      <c r="C32" s="2">
        <v>46029</v>
      </c>
      <c r="D32" s="2">
        <v>46039</v>
      </c>
      <c r="E32" s="3">
        <v>32.700000000000003</v>
      </c>
      <c r="F32" s="3" t="s">
        <v>711</v>
      </c>
      <c r="G32" s="8"/>
    </row>
    <row r="33" spans="1:7" ht="15" customHeight="1" x14ac:dyDescent="0.3">
      <c r="A33" s="3" t="s">
        <v>737</v>
      </c>
      <c r="B33" s="3" t="s">
        <v>35</v>
      </c>
      <c r="C33" s="2">
        <v>46067</v>
      </c>
      <c r="D33" s="2">
        <v>46075</v>
      </c>
      <c r="E33" s="3">
        <v>14.8</v>
      </c>
      <c r="F33" s="3" t="s">
        <v>705</v>
      </c>
      <c r="G33" s="8"/>
    </row>
    <row r="34" spans="1:7" ht="15" customHeight="1" x14ac:dyDescent="0.3">
      <c r="A34" s="3" t="s">
        <v>738</v>
      </c>
      <c r="B34" s="3" t="s">
        <v>122</v>
      </c>
      <c r="C34" s="2">
        <v>46077</v>
      </c>
      <c r="D34" s="2">
        <v>46085</v>
      </c>
      <c r="E34" s="3">
        <v>9.5</v>
      </c>
      <c r="F34" s="3" t="s">
        <v>711</v>
      </c>
      <c r="G34" s="8"/>
    </row>
    <row r="35" spans="1:7" ht="15" customHeight="1" x14ac:dyDescent="0.3">
      <c r="A35" s="3" t="s">
        <v>739</v>
      </c>
      <c r="B35" s="3" t="s">
        <v>200</v>
      </c>
      <c r="C35" s="2">
        <v>46080</v>
      </c>
      <c r="D35" s="2">
        <v>46093</v>
      </c>
      <c r="E35" s="3">
        <v>21.1</v>
      </c>
      <c r="F35" s="3" t="s">
        <v>705</v>
      </c>
      <c r="G35" s="8"/>
    </row>
    <row r="36" spans="1:7" ht="15" customHeight="1" x14ac:dyDescent="0.3">
      <c r="A36" s="3" t="s">
        <v>740</v>
      </c>
      <c r="B36" s="3" t="s">
        <v>131</v>
      </c>
      <c r="C36" s="2">
        <v>46035</v>
      </c>
      <c r="D36" s="2">
        <v>46039</v>
      </c>
      <c r="E36" s="3">
        <v>47.7</v>
      </c>
      <c r="F36" s="3" t="s">
        <v>705</v>
      </c>
      <c r="G36" s="8"/>
    </row>
    <row r="37" spans="1:7" ht="15" customHeight="1" x14ac:dyDescent="0.3">
      <c r="A37" s="3" t="s">
        <v>741</v>
      </c>
      <c r="B37" s="3" t="s">
        <v>66</v>
      </c>
      <c r="C37" s="2">
        <v>46065</v>
      </c>
      <c r="D37" s="2">
        <v>46071</v>
      </c>
      <c r="E37" s="3">
        <v>33.9</v>
      </c>
      <c r="F37" s="3" t="s">
        <v>725</v>
      </c>
      <c r="G37" s="8"/>
    </row>
    <row r="38" spans="1:7" ht="15" customHeight="1" x14ac:dyDescent="0.3">
      <c r="A38" s="3" t="s">
        <v>742</v>
      </c>
      <c r="B38" s="3" t="s">
        <v>73</v>
      </c>
      <c r="C38" s="2">
        <v>46026</v>
      </c>
      <c r="D38" s="2">
        <v>46034</v>
      </c>
      <c r="E38" s="3">
        <v>16</v>
      </c>
      <c r="F38" s="3" t="s">
        <v>36</v>
      </c>
      <c r="G38" s="8"/>
    </row>
    <row r="39" spans="1:7" ht="15" customHeight="1" x14ac:dyDescent="0.3">
      <c r="A39" s="3" t="s">
        <v>743</v>
      </c>
      <c r="B39" s="3" t="s">
        <v>206</v>
      </c>
      <c r="C39" s="2">
        <v>46036</v>
      </c>
      <c r="D39" s="2">
        <v>46040</v>
      </c>
      <c r="E39" s="3">
        <v>42.3</v>
      </c>
      <c r="F39" s="3" t="s">
        <v>725</v>
      </c>
      <c r="G39" s="8"/>
    </row>
    <row r="40" spans="1:7" ht="15" customHeight="1" x14ac:dyDescent="0.3">
      <c r="A40" s="3" t="s">
        <v>744</v>
      </c>
      <c r="B40" s="3" t="s">
        <v>84</v>
      </c>
      <c r="C40" s="2">
        <v>46060</v>
      </c>
      <c r="D40" s="2">
        <v>46066</v>
      </c>
      <c r="E40" s="3">
        <v>41.6</v>
      </c>
      <c r="F40" s="3" t="s">
        <v>36</v>
      </c>
      <c r="G40" s="8"/>
    </row>
    <row r="41" spans="1:7" ht="15" customHeight="1" x14ac:dyDescent="0.3">
      <c r="A41" s="3" t="s">
        <v>745</v>
      </c>
      <c r="B41" s="3" t="s">
        <v>146</v>
      </c>
      <c r="C41" s="2">
        <v>46072</v>
      </c>
      <c r="D41" s="2">
        <v>46077</v>
      </c>
      <c r="E41" s="3">
        <v>40.5</v>
      </c>
      <c r="F41" s="3" t="s">
        <v>725</v>
      </c>
      <c r="G41" s="8"/>
    </row>
    <row r="42" spans="1:7" ht="15" customHeight="1" x14ac:dyDescent="0.3">
      <c r="A42" s="3" t="s">
        <v>746</v>
      </c>
      <c r="B42" s="3" t="s">
        <v>10</v>
      </c>
      <c r="C42" s="2">
        <v>46040</v>
      </c>
      <c r="D42" s="2">
        <v>46045</v>
      </c>
      <c r="E42" s="3">
        <v>49.4</v>
      </c>
      <c r="F42" s="3" t="s">
        <v>725</v>
      </c>
      <c r="G42" s="8"/>
    </row>
    <row r="43" spans="1:7" ht="15" customHeight="1" x14ac:dyDescent="0.3">
      <c r="A43" s="3" t="s">
        <v>747</v>
      </c>
      <c r="B43" s="3" t="s">
        <v>125</v>
      </c>
      <c r="C43" s="2">
        <v>46074</v>
      </c>
      <c r="D43" s="2">
        <v>46079</v>
      </c>
      <c r="E43" s="3">
        <v>9.9</v>
      </c>
      <c r="F43" s="3" t="s">
        <v>32</v>
      </c>
      <c r="G43" s="8"/>
    </row>
    <row r="44" spans="1:7" ht="15" customHeight="1" x14ac:dyDescent="0.3">
      <c r="A44" s="3" t="s">
        <v>748</v>
      </c>
      <c r="B44" s="3" t="s">
        <v>68</v>
      </c>
      <c r="C44" s="2">
        <v>46023</v>
      </c>
      <c r="D44" s="2">
        <v>46031</v>
      </c>
      <c r="E44" s="3">
        <v>40.5</v>
      </c>
      <c r="F44" s="3" t="s">
        <v>36</v>
      </c>
      <c r="G44" s="8"/>
    </row>
    <row r="45" spans="1:7" ht="15" customHeight="1" x14ac:dyDescent="0.3">
      <c r="A45" s="3" t="s">
        <v>749</v>
      </c>
      <c r="B45" s="3" t="s">
        <v>212</v>
      </c>
      <c r="C45" s="2">
        <v>46043</v>
      </c>
      <c r="D45" s="2">
        <v>46046</v>
      </c>
      <c r="E45" s="3">
        <v>12.8</v>
      </c>
      <c r="F45" s="3" t="s">
        <v>32</v>
      </c>
      <c r="G45" s="8"/>
    </row>
    <row r="46" spans="1:7" ht="15" customHeight="1" x14ac:dyDescent="0.3">
      <c r="A46" s="3" t="s">
        <v>750</v>
      </c>
      <c r="B46" s="3" t="s">
        <v>68</v>
      </c>
      <c r="C46" s="2">
        <v>46070</v>
      </c>
      <c r="D46" s="2">
        <v>46079</v>
      </c>
      <c r="E46" s="3">
        <v>28.7</v>
      </c>
      <c r="F46" s="3" t="s">
        <v>32</v>
      </c>
      <c r="G46" s="8"/>
    </row>
    <row r="47" spans="1:7" ht="15" customHeight="1" x14ac:dyDescent="0.3">
      <c r="A47" s="3" t="s">
        <v>751</v>
      </c>
      <c r="B47" s="3" t="s">
        <v>182</v>
      </c>
      <c r="C47" s="2">
        <v>46051</v>
      </c>
      <c r="D47" s="2">
        <v>46059</v>
      </c>
      <c r="E47" s="3">
        <v>28.1</v>
      </c>
      <c r="F47" s="3" t="s">
        <v>32</v>
      </c>
      <c r="G47" s="8"/>
    </row>
    <row r="48" spans="1:7" ht="15" customHeight="1" x14ac:dyDescent="0.3">
      <c r="A48" s="3" t="s">
        <v>752</v>
      </c>
      <c r="B48" s="3" t="s">
        <v>176</v>
      </c>
      <c r="C48" s="2">
        <v>46055</v>
      </c>
      <c r="D48" s="2">
        <v>46061</v>
      </c>
      <c r="E48" s="3">
        <v>47.5</v>
      </c>
      <c r="F48" s="3" t="s">
        <v>32</v>
      </c>
      <c r="G48" s="8"/>
    </row>
    <row r="49" spans="1:7" ht="15" customHeight="1" x14ac:dyDescent="0.3">
      <c r="A49" s="3" t="s">
        <v>753</v>
      </c>
      <c r="B49" s="3" t="s">
        <v>248</v>
      </c>
      <c r="C49" s="2">
        <v>46073</v>
      </c>
      <c r="D49" s="2">
        <v>46086</v>
      </c>
      <c r="E49" s="3">
        <v>28.5</v>
      </c>
      <c r="F49" s="3" t="s">
        <v>705</v>
      </c>
      <c r="G49" s="8"/>
    </row>
    <row r="50" spans="1:7" ht="15" customHeight="1" x14ac:dyDescent="0.3">
      <c r="A50" s="3" t="s">
        <v>754</v>
      </c>
      <c r="B50" s="3" t="s">
        <v>226</v>
      </c>
      <c r="C50" s="2">
        <v>46024</v>
      </c>
      <c r="D50" s="2">
        <v>46027</v>
      </c>
      <c r="E50" s="3">
        <v>49.9</v>
      </c>
      <c r="F50" s="3" t="s">
        <v>705</v>
      </c>
      <c r="G50" s="8"/>
    </row>
    <row r="51" spans="1:7" ht="15" customHeight="1" x14ac:dyDescent="0.3">
      <c r="A51" s="3" t="s">
        <v>755</v>
      </c>
      <c r="B51" s="3" t="s">
        <v>170</v>
      </c>
      <c r="C51" s="2">
        <v>46066</v>
      </c>
      <c r="D51" s="2">
        <v>46070</v>
      </c>
      <c r="E51" s="3">
        <v>27.1</v>
      </c>
      <c r="F51" s="3" t="s">
        <v>705</v>
      </c>
      <c r="G51" s="8"/>
    </row>
    <row r="52" spans="1:7" ht="15" customHeight="1" x14ac:dyDescent="0.3">
      <c r="A52" s="3" t="s">
        <v>756</v>
      </c>
      <c r="B52" s="3" t="s">
        <v>98</v>
      </c>
      <c r="C52" s="2">
        <v>46080</v>
      </c>
      <c r="D52" s="2">
        <v>46084</v>
      </c>
      <c r="E52" s="3">
        <v>19.5</v>
      </c>
      <c r="F52" s="3" t="s">
        <v>36</v>
      </c>
      <c r="G52" s="8"/>
    </row>
    <row r="53" spans="1:7" ht="15" customHeight="1" x14ac:dyDescent="0.3">
      <c r="A53" s="3" t="s">
        <v>757</v>
      </c>
      <c r="B53" s="3" t="s">
        <v>81</v>
      </c>
      <c r="C53" s="2">
        <v>46031</v>
      </c>
      <c r="D53" s="2">
        <v>46038</v>
      </c>
      <c r="E53" s="3">
        <v>33.1</v>
      </c>
      <c r="F53" s="3" t="s">
        <v>725</v>
      </c>
      <c r="G53" s="8"/>
    </row>
    <row r="54" spans="1:7" ht="15" customHeight="1" x14ac:dyDescent="0.3">
      <c r="A54" s="3" t="s">
        <v>758</v>
      </c>
      <c r="B54" s="3" t="s">
        <v>202</v>
      </c>
      <c r="C54" s="2">
        <v>46068</v>
      </c>
      <c r="D54" s="2">
        <v>46076</v>
      </c>
      <c r="E54" s="3">
        <v>22.1</v>
      </c>
      <c r="F54" s="3" t="s">
        <v>725</v>
      </c>
      <c r="G54" s="8"/>
    </row>
    <row r="55" spans="1:7" ht="15" customHeight="1" x14ac:dyDescent="0.3">
      <c r="A55" s="3" t="s">
        <v>759</v>
      </c>
      <c r="B55" s="3" t="s">
        <v>196</v>
      </c>
      <c r="C55" s="2">
        <v>46041</v>
      </c>
      <c r="D55" s="2">
        <v>46051</v>
      </c>
      <c r="E55" s="3">
        <v>27.7</v>
      </c>
      <c r="F55" s="3" t="s">
        <v>705</v>
      </c>
      <c r="G55" s="8"/>
    </row>
    <row r="56" spans="1:7" ht="15" customHeight="1" x14ac:dyDescent="0.3">
      <c r="A56" s="3" t="s">
        <v>760</v>
      </c>
      <c r="B56" s="3" t="s">
        <v>62</v>
      </c>
      <c r="C56" s="2">
        <v>46073</v>
      </c>
      <c r="D56" s="2">
        <v>46087</v>
      </c>
      <c r="E56" s="3">
        <v>10.1</v>
      </c>
      <c r="F56" s="3" t="s">
        <v>725</v>
      </c>
      <c r="G56" s="8"/>
    </row>
    <row r="57" spans="1:7" ht="15" customHeight="1" x14ac:dyDescent="0.3">
      <c r="A57" s="3" t="s">
        <v>761</v>
      </c>
      <c r="B57" s="3" t="s">
        <v>246</v>
      </c>
      <c r="C57" s="2">
        <v>46078</v>
      </c>
      <c r="D57" s="2">
        <v>46084</v>
      </c>
      <c r="E57" s="3">
        <v>24.4</v>
      </c>
      <c r="F57" s="3" t="s">
        <v>36</v>
      </c>
      <c r="G57" s="8"/>
    </row>
    <row r="58" spans="1:7" ht="15" customHeight="1" x14ac:dyDescent="0.3">
      <c r="A58" s="3" t="s">
        <v>762</v>
      </c>
      <c r="B58" s="3" t="s">
        <v>166</v>
      </c>
      <c r="C58" s="2">
        <v>46044</v>
      </c>
      <c r="D58" s="2">
        <v>46054</v>
      </c>
      <c r="E58" s="3">
        <v>22.9</v>
      </c>
      <c r="F58" s="3" t="s">
        <v>32</v>
      </c>
      <c r="G58" s="8"/>
    </row>
    <row r="59" spans="1:7" ht="15" customHeight="1" x14ac:dyDescent="0.3">
      <c r="A59" s="3" t="s">
        <v>763</v>
      </c>
      <c r="B59" s="3" t="s">
        <v>142</v>
      </c>
      <c r="C59" s="2">
        <v>46050</v>
      </c>
      <c r="D59" s="2">
        <v>46058</v>
      </c>
      <c r="E59" s="3">
        <v>34.9</v>
      </c>
      <c r="F59" s="3" t="s">
        <v>711</v>
      </c>
      <c r="G59" s="8"/>
    </row>
    <row r="60" spans="1:7" ht="15" customHeight="1" x14ac:dyDescent="0.3">
      <c r="A60" s="3" t="s">
        <v>764</v>
      </c>
      <c r="B60" s="3" t="s">
        <v>72</v>
      </c>
      <c r="C60" s="2">
        <v>46066</v>
      </c>
      <c r="D60" s="2">
        <v>46076</v>
      </c>
      <c r="E60" s="3">
        <v>8</v>
      </c>
      <c r="F60" s="3" t="s">
        <v>32</v>
      </c>
      <c r="G60" s="8"/>
    </row>
    <row r="61" spans="1:7" ht="15" customHeight="1" x14ac:dyDescent="0.3">
      <c r="A61" s="3" t="s">
        <v>765</v>
      </c>
      <c r="B61" s="3" t="s">
        <v>66</v>
      </c>
      <c r="C61" s="2">
        <v>46050</v>
      </c>
      <c r="D61" s="2">
        <v>46054</v>
      </c>
      <c r="E61" s="3">
        <v>38.5</v>
      </c>
      <c r="F61" s="3" t="s">
        <v>711</v>
      </c>
      <c r="G61" s="8"/>
    </row>
    <row r="62" spans="1:7" ht="15" customHeight="1" x14ac:dyDescent="0.3">
      <c r="A62" s="3" t="s">
        <v>766</v>
      </c>
      <c r="B62" s="3" t="s">
        <v>68</v>
      </c>
      <c r="C62" s="2">
        <v>46058</v>
      </c>
      <c r="D62" s="2">
        <v>46061</v>
      </c>
      <c r="E62" s="3">
        <v>31.4</v>
      </c>
      <c r="F62" s="3" t="s">
        <v>725</v>
      </c>
      <c r="G62" s="8"/>
    </row>
    <row r="63" spans="1:7" ht="15" customHeight="1" x14ac:dyDescent="0.3">
      <c r="A63" s="3" t="s">
        <v>767</v>
      </c>
      <c r="B63" s="3" t="s">
        <v>204</v>
      </c>
      <c r="C63" s="2">
        <v>46044</v>
      </c>
      <c r="D63" s="2">
        <v>46057</v>
      </c>
      <c r="E63" s="3">
        <v>10.5</v>
      </c>
      <c r="F63" s="3" t="s">
        <v>711</v>
      </c>
      <c r="G63" s="8"/>
    </row>
    <row r="64" spans="1:7" ht="15" customHeight="1" x14ac:dyDescent="0.3">
      <c r="A64" s="3" t="s">
        <v>768</v>
      </c>
      <c r="B64" s="3" t="s">
        <v>232</v>
      </c>
      <c r="C64" s="2">
        <v>46083</v>
      </c>
      <c r="D64" s="2">
        <v>46092</v>
      </c>
      <c r="E64" s="3">
        <v>44.1</v>
      </c>
      <c r="F64" s="3" t="s">
        <v>32</v>
      </c>
      <c r="G64" s="8"/>
    </row>
    <row r="65" spans="1:7" ht="15" customHeight="1" x14ac:dyDescent="0.3">
      <c r="A65" s="3" t="s">
        <v>769</v>
      </c>
      <c r="B65" s="3" t="s">
        <v>133</v>
      </c>
      <c r="C65" s="2">
        <v>46061</v>
      </c>
      <c r="D65" s="2">
        <v>46068</v>
      </c>
      <c r="E65" s="3">
        <v>20.8</v>
      </c>
      <c r="F65" s="3" t="s">
        <v>725</v>
      </c>
      <c r="G65" s="8"/>
    </row>
    <row r="66" spans="1:7" ht="15" customHeight="1" x14ac:dyDescent="0.3">
      <c r="A66" s="3" t="s">
        <v>770</v>
      </c>
      <c r="B66" s="3" t="s">
        <v>190</v>
      </c>
      <c r="C66" s="2">
        <v>46036</v>
      </c>
      <c r="D66" s="2">
        <v>46041</v>
      </c>
      <c r="E66" s="3">
        <v>34.6</v>
      </c>
      <c r="F66" s="3" t="s">
        <v>36</v>
      </c>
      <c r="G66" s="8"/>
    </row>
    <row r="67" spans="1:7" ht="15" customHeight="1" x14ac:dyDescent="0.3">
      <c r="A67" s="3" t="s">
        <v>771</v>
      </c>
      <c r="B67" s="3" t="s">
        <v>67</v>
      </c>
      <c r="C67" s="2">
        <v>46045</v>
      </c>
      <c r="D67" s="2">
        <v>46056</v>
      </c>
      <c r="E67" s="3">
        <v>21.5</v>
      </c>
      <c r="F67" s="3" t="s">
        <v>711</v>
      </c>
      <c r="G67" s="8"/>
    </row>
    <row r="68" spans="1:7" ht="15" customHeight="1" x14ac:dyDescent="0.3">
      <c r="A68" s="3" t="s">
        <v>772</v>
      </c>
      <c r="B68" s="3" t="s">
        <v>208</v>
      </c>
      <c r="C68" s="2">
        <v>46037</v>
      </c>
      <c r="D68" s="2">
        <v>46046</v>
      </c>
      <c r="E68" s="3">
        <v>43</v>
      </c>
      <c r="F68" s="3" t="s">
        <v>725</v>
      </c>
      <c r="G68" s="8"/>
    </row>
    <row r="69" spans="1:7" ht="15" customHeight="1" x14ac:dyDescent="0.3">
      <c r="A69" s="3" t="s">
        <v>773</v>
      </c>
      <c r="B69" s="3" t="s">
        <v>218</v>
      </c>
      <c r="C69" s="2">
        <v>46066</v>
      </c>
      <c r="D69" s="2">
        <v>46079</v>
      </c>
      <c r="E69" s="3">
        <v>30.1</v>
      </c>
      <c r="F69" s="3" t="s">
        <v>725</v>
      </c>
      <c r="G69" s="8"/>
    </row>
    <row r="70" spans="1:7" ht="15" customHeight="1" x14ac:dyDescent="0.3">
      <c r="A70" s="3" t="s">
        <v>774</v>
      </c>
      <c r="B70" s="3" t="s">
        <v>230</v>
      </c>
      <c r="C70" s="2">
        <v>46076</v>
      </c>
      <c r="D70" s="2">
        <v>46090</v>
      </c>
      <c r="E70" s="3">
        <v>17</v>
      </c>
      <c r="F70" s="3" t="s">
        <v>36</v>
      </c>
      <c r="G70" s="8"/>
    </row>
    <row r="71" spans="1:7" ht="15" customHeight="1" x14ac:dyDescent="0.3">
      <c r="A71" s="3" t="s">
        <v>775</v>
      </c>
      <c r="B71" s="3" t="s">
        <v>129</v>
      </c>
      <c r="C71" s="2">
        <v>46067</v>
      </c>
      <c r="D71" s="2">
        <v>46074</v>
      </c>
      <c r="E71" s="3">
        <v>46.5</v>
      </c>
      <c r="F71" s="3" t="s">
        <v>711</v>
      </c>
      <c r="G71" s="8"/>
    </row>
    <row r="72" spans="1:7" ht="15" customHeight="1" x14ac:dyDescent="0.3">
      <c r="A72" s="3" t="s">
        <v>776</v>
      </c>
      <c r="B72" s="3" t="s">
        <v>10</v>
      </c>
      <c r="C72" s="2">
        <v>46034</v>
      </c>
      <c r="D72" s="2">
        <v>46039</v>
      </c>
      <c r="E72" s="3">
        <v>30.5</v>
      </c>
      <c r="F72" s="3" t="s">
        <v>705</v>
      </c>
      <c r="G72" s="8"/>
    </row>
    <row r="73" spans="1:7" ht="15" customHeight="1" x14ac:dyDescent="0.3">
      <c r="A73" s="3" t="s">
        <v>777</v>
      </c>
      <c r="B73" s="3" t="s">
        <v>81</v>
      </c>
      <c r="C73" s="2">
        <v>46032</v>
      </c>
      <c r="D73" s="2">
        <v>46046</v>
      </c>
      <c r="E73" s="3">
        <v>33.5</v>
      </c>
      <c r="F73" s="3" t="s">
        <v>32</v>
      </c>
      <c r="G73" s="8"/>
    </row>
    <row r="74" spans="1:7" ht="15" customHeight="1" x14ac:dyDescent="0.3">
      <c r="A74" s="3" t="s">
        <v>778</v>
      </c>
      <c r="B74" s="3" t="s">
        <v>66</v>
      </c>
      <c r="C74" s="2">
        <v>46070</v>
      </c>
      <c r="D74" s="2">
        <v>46081</v>
      </c>
      <c r="E74" s="3">
        <v>14.7</v>
      </c>
      <c r="F74" s="3" t="s">
        <v>705</v>
      </c>
      <c r="G74" s="8"/>
    </row>
    <row r="75" spans="1:7" ht="15" customHeight="1" x14ac:dyDescent="0.3">
      <c r="A75" s="3" t="s">
        <v>779</v>
      </c>
      <c r="B75" s="3" t="s">
        <v>178</v>
      </c>
      <c r="C75" s="2">
        <v>46044</v>
      </c>
      <c r="D75" s="2">
        <v>46049</v>
      </c>
      <c r="E75" s="3">
        <v>21.7</v>
      </c>
      <c r="F75" s="3" t="s">
        <v>711</v>
      </c>
      <c r="G75" s="8"/>
    </row>
    <row r="76" spans="1:7" ht="15" customHeight="1" x14ac:dyDescent="0.3">
      <c r="A76" s="3" t="s">
        <v>780</v>
      </c>
      <c r="B76" s="3" t="s">
        <v>260</v>
      </c>
      <c r="C76" s="2">
        <v>46083</v>
      </c>
      <c r="D76" s="2">
        <v>46095</v>
      </c>
      <c r="E76" s="3">
        <v>31.8</v>
      </c>
      <c r="F76" s="3" t="s">
        <v>32</v>
      </c>
      <c r="G76" s="8"/>
    </row>
    <row r="77" spans="1:7" ht="15" customHeight="1" x14ac:dyDescent="0.3">
      <c r="A77" s="3" t="s">
        <v>781</v>
      </c>
      <c r="B77" s="3" t="s">
        <v>72</v>
      </c>
      <c r="C77" s="2">
        <v>46033</v>
      </c>
      <c r="D77" s="2">
        <v>46045</v>
      </c>
      <c r="E77" s="3">
        <v>7.2</v>
      </c>
      <c r="F77" s="3" t="s">
        <v>32</v>
      </c>
      <c r="G77" s="8"/>
    </row>
    <row r="78" spans="1:7" ht="15" customHeight="1" x14ac:dyDescent="0.3">
      <c r="A78" s="3" t="s">
        <v>782</v>
      </c>
      <c r="B78" s="3" t="s">
        <v>129</v>
      </c>
      <c r="C78" s="2">
        <v>46051</v>
      </c>
      <c r="D78" s="2">
        <v>46064</v>
      </c>
      <c r="E78" s="3">
        <v>24.1</v>
      </c>
      <c r="F78" s="3" t="s">
        <v>725</v>
      </c>
      <c r="G78" s="8"/>
    </row>
    <row r="79" spans="1:7" ht="15" customHeight="1" x14ac:dyDescent="0.3">
      <c r="A79" s="3" t="s">
        <v>783</v>
      </c>
      <c r="B79" s="3" t="s">
        <v>174</v>
      </c>
      <c r="C79" s="2">
        <v>46049</v>
      </c>
      <c r="D79" s="2">
        <v>46056</v>
      </c>
      <c r="E79" s="3">
        <v>14.7</v>
      </c>
      <c r="F79" s="3" t="s">
        <v>725</v>
      </c>
      <c r="G79" s="8"/>
    </row>
    <row r="80" spans="1:7" ht="15" customHeight="1" x14ac:dyDescent="0.3">
      <c r="A80" s="3" t="s">
        <v>784</v>
      </c>
      <c r="B80" s="3" t="s">
        <v>64</v>
      </c>
      <c r="C80" s="2">
        <v>46045</v>
      </c>
      <c r="D80" s="2">
        <v>46054</v>
      </c>
      <c r="E80" s="3">
        <v>10</v>
      </c>
      <c r="F80" s="3" t="s">
        <v>725</v>
      </c>
      <c r="G80" s="8"/>
    </row>
    <row r="81" spans="1:7" ht="15" customHeight="1" x14ac:dyDescent="0.3">
      <c r="A81" s="3" t="s">
        <v>785</v>
      </c>
      <c r="B81" s="3" t="s">
        <v>186</v>
      </c>
      <c r="C81" s="2">
        <v>46056</v>
      </c>
      <c r="D81" s="2">
        <v>46069</v>
      </c>
      <c r="E81" s="3">
        <v>18.899999999999999</v>
      </c>
      <c r="F81" s="3" t="s">
        <v>36</v>
      </c>
      <c r="G81" s="8"/>
    </row>
    <row r="82" spans="1:7" ht="15" customHeight="1" x14ac:dyDescent="0.3">
      <c r="A82" s="3" t="s">
        <v>786</v>
      </c>
      <c r="B82" s="3" t="s">
        <v>162</v>
      </c>
      <c r="C82" s="2">
        <v>46061</v>
      </c>
      <c r="D82" s="2">
        <v>46064</v>
      </c>
      <c r="E82" s="3">
        <v>5.3</v>
      </c>
      <c r="F82" s="3" t="s">
        <v>711</v>
      </c>
      <c r="G82" s="8"/>
    </row>
    <row r="83" spans="1:7" ht="15" customHeight="1" x14ac:dyDescent="0.3">
      <c r="A83" s="3" t="s">
        <v>787</v>
      </c>
      <c r="B83" s="3" t="s">
        <v>71</v>
      </c>
      <c r="C83" s="2">
        <v>46072</v>
      </c>
      <c r="D83" s="2">
        <v>46077</v>
      </c>
      <c r="E83" s="3">
        <v>39.4</v>
      </c>
      <c r="F83" s="3" t="s">
        <v>711</v>
      </c>
      <c r="G83" s="8"/>
    </row>
    <row r="84" spans="1:7" ht="15" customHeight="1" x14ac:dyDescent="0.3">
      <c r="A84" s="3" t="s">
        <v>788</v>
      </c>
      <c r="B84" s="3" t="s">
        <v>144</v>
      </c>
      <c r="C84" s="2">
        <v>46030</v>
      </c>
      <c r="D84" s="2">
        <v>46033</v>
      </c>
      <c r="E84" s="3">
        <v>27.4</v>
      </c>
      <c r="F84" s="3" t="s">
        <v>705</v>
      </c>
      <c r="G84" s="8"/>
    </row>
    <row r="85" spans="1:7" ht="15" customHeight="1" x14ac:dyDescent="0.3">
      <c r="A85" s="3" t="s">
        <v>789</v>
      </c>
      <c r="B85" s="3" t="s">
        <v>60</v>
      </c>
      <c r="C85" s="2">
        <v>46031</v>
      </c>
      <c r="D85" s="2">
        <v>46040</v>
      </c>
      <c r="E85" s="3">
        <v>29</v>
      </c>
      <c r="F85" s="3" t="s">
        <v>36</v>
      </c>
      <c r="G85" s="8"/>
    </row>
    <row r="86" spans="1:7" ht="15" customHeight="1" x14ac:dyDescent="0.3">
      <c r="A86" s="3" t="s">
        <v>790</v>
      </c>
      <c r="B86" s="3" t="s">
        <v>190</v>
      </c>
      <c r="C86" s="2">
        <v>46058</v>
      </c>
      <c r="D86" s="2">
        <v>46071</v>
      </c>
      <c r="E86" s="3">
        <v>41.3</v>
      </c>
      <c r="F86" s="3" t="s">
        <v>32</v>
      </c>
      <c r="G86" s="8"/>
    </row>
    <row r="87" spans="1:7" ht="15" customHeight="1" x14ac:dyDescent="0.3">
      <c r="A87" s="3" t="s">
        <v>791</v>
      </c>
      <c r="B87" s="3" t="s">
        <v>162</v>
      </c>
      <c r="C87" s="2">
        <v>46078</v>
      </c>
      <c r="D87" s="2">
        <v>46092</v>
      </c>
      <c r="E87" s="3">
        <v>6.9</v>
      </c>
      <c r="F87" s="3" t="s">
        <v>32</v>
      </c>
      <c r="G87" s="8"/>
    </row>
    <row r="88" spans="1:7" ht="15" customHeight="1" x14ac:dyDescent="0.3">
      <c r="A88" s="3" t="s">
        <v>792</v>
      </c>
      <c r="B88" s="3" t="s">
        <v>178</v>
      </c>
      <c r="C88" s="2">
        <v>46081</v>
      </c>
      <c r="D88" s="2">
        <v>46085</v>
      </c>
      <c r="E88" s="3">
        <v>43.8</v>
      </c>
      <c r="F88" s="3" t="s">
        <v>725</v>
      </c>
      <c r="G88" s="8"/>
    </row>
    <row r="89" spans="1:7" ht="15" customHeight="1" x14ac:dyDescent="0.3">
      <c r="A89" s="3" t="s">
        <v>793</v>
      </c>
      <c r="B89" s="3" t="s">
        <v>170</v>
      </c>
      <c r="C89" s="2">
        <v>46059</v>
      </c>
      <c r="D89" s="2">
        <v>46068</v>
      </c>
      <c r="E89" s="3">
        <v>36.9</v>
      </c>
      <c r="F89" s="3" t="s">
        <v>705</v>
      </c>
      <c r="G89" s="8"/>
    </row>
    <row r="90" spans="1:7" ht="15" customHeight="1" x14ac:dyDescent="0.3">
      <c r="A90" s="3" t="s">
        <v>794</v>
      </c>
      <c r="B90" s="3" t="s">
        <v>136</v>
      </c>
      <c r="C90" s="2">
        <v>46030</v>
      </c>
      <c r="D90" s="2">
        <v>46039</v>
      </c>
      <c r="E90" s="3">
        <v>5.9</v>
      </c>
      <c r="F90" s="3" t="s">
        <v>711</v>
      </c>
      <c r="G90" s="8"/>
    </row>
    <row r="91" spans="1:7" ht="15" customHeight="1" x14ac:dyDescent="0.3">
      <c r="A91" s="3" t="s">
        <v>795</v>
      </c>
      <c r="B91" s="3" t="s">
        <v>79</v>
      </c>
      <c r="C91" s="2">
        <v>46074</v>
      </c>
      <c r="D91" s="2">
        <v>46086</v>
      </c>
      <c r="E91" s="3">
        <v>25.7</v>
      </c>
      <c r="F91" s="3" t="s">
        <v>711</v>
      </c>
      <c r="G91" s="8"/>
    </row>
    <row r="92" spans="1:7" ht="15" customHeight="1" x14ac:dyDescent="0.3">
      <c r="A92" s="3" t="s">
        <v>796</v>
      </c>
      <c r="B92" s="3" t="s">
        <v>66</v>
      </c>
      <c r="C92" s="2">
        <v>46050</v>
      </c>
      <c r="D92" s="2">
        <v>46054</v>
      </c>
      <c r="E92" s="3">
        <v>15.9</v>
      </c>
      <c r="F92" s="3" t="s">
        <v>725</v>
      </c>
      <c r="G92" s="8"/>
    </row>
    <row r="93" spans="1:7" ht="15" customHeight="1" x14ac:dyDescent="0.3">
      <c r="A93" s="3" t="s">
        <v>797</v>
      </c>
      <c r="B93" s="3" t="s">
        <v>164</v>
      </c>
      <c r="C93" s="2">
        <v>46056</v>
      </c>
      <c r="D93" s="2">
        <v>46060</v>
      </c>
      <c r="E93" s="3">
        <v>22.8</v>
      </c>
      <c r="F93" s="3" t="s">
        <v>711</v>
      </c>
      <c r="G93" s="8"/>
    </row>
    <row r="94" spans="1:7" ht="15" customHeight="1" x14ac:dyDescent="0.3">
      <c r="A94" s="3" t="s">
        <v>798</v>
      </c>
      <c r="B94" s="3" t="s">
        <v>252</v>
      </c>
      <c r="C94" s="2">
        <v>46044</v>
      </c>
      <c r="D94" s="2">
        <v>46050</v>
      </c>
      <c r="E94" s="3">
        <v>20</v>
      </c>
      <c r="F94" s="3" t="s">
        <v>36</v>
      </c>
      <c r="G94" s="8"/>
    </row>
    <row r="95" spans="1:7" ht="15" customHeight="1" x14ac:dyDescent="0.3">
      <c r="A95" s="3" t="s">
        <v>799</v>
      </c>
      <c r="B95" s="3" t="s">
        <v>98</v>
      </c>
      <c r="C95" s="2">
        <v>46055</v>
      </c>
      <c r="D95" s="2">
        <v>46068</v>
      </c>
      <c r="E95" s="3">
        <v>10.1</v>
      </c>
      <c r="F95" s="3" t="s">
        <v>725</v>
      </c>
      <c r="G95" s="8"/>
    </row>
    <row r="96" spans="1:7" ht="15" customHeight="1" x14ac:dyDescent="0.3">
      <c r="A96" s="3" t="s">
        <v>800</v>
      </c>
      <c r="B96" s="3" t="s">
        <v>61</v>
      </c>
      <c r="C96" s="2">
        <v>46080</v>
      </c>
      <c r="D96" s="2">
        <v>46088</v>
      </c>
      <c r="E96" s="3">
        <v>20.8</v>
      </c>
      <c r="F96" s="3" t="s">
        <v>36</v>
      </c>
      <c r="G96" s="8"/>
    </row>
    <row r="97" spans="1:7" ht="15" customHeight="1" x14ac:dyDescent="0.3">
      <c r="A97" s="3" t="s">
        <v>801</v>
      </c>
      <c r="B97" s="3" t="s">
        <v>122</v>
      </c>
      <c r="C97" s="2">
        <v>46029</v>
      </c>
      <c r="D97" s="2">
        <v>46034</v>
      </c>
      <c r="E97" s="3">
        <v>16.5</v>
      </c>
      <c r="F97" s="3" t="s">
        <v>36</v>
      </c>
      <c r="G97" s="8"/>
    </row>
    <row r="98" spans="1:7" ht="15" customHeight="1" x14ac:dyDescent="0.3">
      <c r="A98" s="3" t="s">
        <v>802</v>
      </c>
      <c r="B98" s="3" t="s">
        <v>216</v>
      </c>
      <c r="C98" s="2">
        <v>46032</v>
      </c>
      <c r="D98" s="2">
        <v>46045</v>
      </c>
      <c r="E98" s="3">
        <v>8.4</v>
      </c>
      <c r="F98" s="3" t="s">
        <v>705</v>
      </c>
      <c r="G98" s="8"/>
    </row>
    <row r="99" spans="1:7" ht="15" customHeight="1" x14ac:dyDescent="0.3">
      <c r="A99" s="3" t="s">
        <v>803</v>
      </c>
      <c r="B99" s="3" t="s">
        <v>180</v>
      </c>
      <c r="C99" s="2">
        <v>46071</v>
      </c>
      <c r="D99" s="2">
        <v>46083</v>
      </c>
      <c r="E99" s="3">
        <v>39.200000000000003</v>
      </c>
      <c r="F99" s="3" t="s">
        <v>705</v>
      </c>
      <c r="G99" s="8"/>
    </row>
    <row r="100" spans="1:7" ht="15" customHeight="1" x14ac:dyDescent="0.3">
      <c r="A100" s="3" t="s">
        <v>804</v>
      </c>
      <c r="B100" s="3" t="s">
        <v>236</v>
      </c>
      <c r="C100" s="2">
        <v>46082</v>
      </c>
      <c r="D100" s="2">
        <v>46094</v>
      </c>
      <c r="E100" s="3">
        <v>33.9</v>
      </c>
      <c r="F100" s="3" t="s">
        <v>725</v>
      </c>
      <c r="G100" s="8"/>
    </row>
    <row r="101" spans="1:7" ht="15" customHeight="1" x14ac:dyDescent="0.3">
      <c r="A101" s="3" t="s">
        <v>805</v>
      </c>
      <c r="B101" s="3" t="s">
        <v>144</v>
      </c>
      <c r="C101" s="2">
        <v>46078</v>
      </c>
      <c r="D101" s="2">
        <v>46091</v>
      </c>
      <c r="E101" s="3">
        <v>19.2</v>
      </c>
      <c r="F101" s="3" t="s">
        <v>705</v>
      </c>
      <c r="G101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1"/>
  <sheetViews>
    <sheetView showGridLines="0" tabSelected="1" zoomScaleNormal="100" workbookViewId="0">
      <selection sqref="A1:D101"/>
    </sheetView>
  </sheetViews>
  <sheetFormatPr defaultColWidth="8.6640625" defaultRowHeight="14.4" x14ac:dyDescent="0.3"/>
  <cols>
    <col min="1" max="1" width="17.44140625" style="1" bestFit="1" customWidth="1"/>
    <col min="2" max="2" width="8.33203125" style="1" bestFit="1" customWidth="1"/>
    <col min="3" max="3" width="15.21875" style="1" bestFit="1" customWidth="1"/>
    <col min="4" max="4" width="16.109375" style="1" bestFit="1" customWidth="1"/>
  </cols>
  <sheetData>
    <row r="1" spans="1:4" ht="19.5" customHeight="1" x14ac:dyDescent="0.3">
      <c r="A1" s="7" t="s">
        <v>20</v>
      </c>
      <c r="B1" s="7" t="s">
        <v>21</v>
      </c>
      <c r="C1" s="7" t="s">
        <v>22</v>
      </c>
      <c r="D1" s="7" t="s">
        <v>23</v>
      </c>
    </row>
    <row r="2" spans="1:4" ht="15" customHeight="1" x14ac:dyDescent="0.3">
      <c r="A2" s="3" t="s">
        <v>29</v>
      </c>
      <c r="B2" s="3" t="s">
        <v>30</v>
      </c>
      <c r="C2" s="9">
        <v>3.4</v>
      </c>
      <c r="D2" s="3" t="s">
        <v>31</v>
      </c>
    </row>
    <row r="3" spans="1:4" ht="15" customHeight="1" x14ac:dyDescent="0.3">
      <c r="A3" s="3" t="s">
        <v>29</v>
      </c>
      <c r="B3" s="3" t="s">
        <v>30</v>
      </c>
      <c r="C3" s="9">
        <v>5.4</v>
      </c>
      <c r="D3" s="3" t="s">
        <v>806</v>
      </c>
    </row>
    <row r="4" spans="1:4" ht="15" customHeight="1" x14ac:dyDescent="0.3">
      <c r="A4" s="3" t="s">
        <v>29</v>
      </c>
      <c r="B4" s="3" t="s">
        <v>30</v>
      </c>
      <c r="C4" s="9">
        <v>4.7</v>
      </c>
      <c r="D4" s="3" t="s">
        <v>807</v>
      </c>
    </row>
    <row r="5" spans="1:4" ht="15" customHeight="1" x14ac:dyDescent="0.3">
      <c r="A5" s="3" t="s">
        <v>29</v>
      </c>
      <c r="B5" s="3" t="s">
        <v>30</v>
      </c>
      <c r="C5" s="9">
        <v>4.5</v>
      </c>
      <c r="D5" s="3" t="s">
        <v>808</v>
      </c>
    </row>
    <row r="6" spans="1:4" ht="15" customHeight="1" x14ac:dyDescent="0.3">
      <c r="A6" s="3" t="s">
        <v>29</v>
      </c>
      <c r="B6" s="3" t="s">
        <v>30</v>
      </c>
      <c r="C6" s="9">
        <v>3.3</v>
      </c>
      <c r="D6" s="3" t="s">
        <v>809</v>
      </c>
    </row>
    <row r="7" spans="1:4" ht="15" customHeight="1" x14ac:dyDescent="0.3">
      <c r="A7" s="3" t="s">
        <v>29</v>
      </c>
      <c r="B7" s="3" t="s">
        <v>30</v>
      </c>
      <c r="C7" s="9">
        <v>5.8</v>
      </c>
      <c r="D7" s="3" t="s">
        <v>810</v>
      </c>
    </row>
    <row r="8" spans="1:4" ht="15" customHeight="1" x14ac:dyDescent="0.3">
      <c r="A8" s="3" t="s">
        <v>29</v>
      </c>
      <c r="B8" s="3" t="s">
        <v>30</v>
      </c>
      <c r="C8" s="9">
        <v>4.7</v>
      </c>
      <c r="D8" s="3" t="s">
        <v>811</v>
      </c>
    </row>
    <row r="9" spans="1:4" ht="15" customHeight="1" x14ac:dyDescent="0.3">
      <c r="A9" s="3" t="s">
        <v>29</v>
      </c>
      <c r="B9" s="3" t="s">
        <v>30</v>
      </c>
      <c r="C9" s="9">
        <v>5.5</v>
      </c>
      <c r="D9" s="3" t="s">
        <v>33</v>
      </c>
    </row>
    <row r="10" spans="1:4" ht="15" customHeight="1" x14ac:dyDescent="0.3">
      <c r="A10" s="3" t="s">
        <v>29</v>
      </c>
      <c r="B10" s="3" t="s">
        <v>30</v>
      </c>
      <c r="C10" s="9">
        <v>3.3</v>
      </c>
      <c r="D10" s="3" t="s">
        <v>812</v>
      </c>
    </row>
    <row r="11" spans="1:4" ht="15" customHeight="1" x14ac:dyDescent="0.3">
      <c r="A11" s="3" t="s">
        <v>29</v>
      </c>
      <c r="B11" s="3" t="s">
        <v>30</v>
      </c>
      <c r="C11" s="9">
        <v>7.6</v>
      </c>
      <c r="D11" s="3" t="s">
        <v>813</v>
      </c>
    </row>
    <row r="12" spans="1:4" ht="15" customHeight="1" x14ac:dyDescent="0.3">
      <c r="A12" s="3" t="s">
        <v>29</v>
      </c>
      <c r="B12" s="3" t="s">
        <v>30</v>
      </c>
      <c r="C12" s="9">
        <v>3.4</v>
      </c>
      <c r="D12" s="3" t="s">
        <v>31</v>
      </c>
    </row>
    <row r="13" spans="1:4" ht="15" customHeight="1" x14ac:dyDescent="0.3">
      <c r="A13" s="3" t="s">
        <v>29</v>
      </c>
      <c r="B13" s="3" t="s">
        <v>30</v>
      </c>
      <c r="C13" s="9">
        <v>7.8</v>
      </c>
      <c r="D13" s="3" t="s">
        <v>806</v>
      </c>
    </row>
    <row r="14" spans="1:4" ht="15" customHeight="1" x14ac:dyDescent="0.3">
      <c r="A14" s="3" t="s">
        <v>29</v>
      </c>
      <c r="B14" s="3" t="s">
        <v>30</v>
      </c>
      <c r="C14" s="9">
        <v>7.7</v>
      </c>
      <c r="D14" s="3" t="s">
        <v>807</v>
      </c>
    </row>
    <row r="15" spans="1:4" ht="15" customHeight="1" x14ac:dyDescent="0.3">
      <c r="A15" s="3" t="s">
        <v>29</v>
      </c>
      <c r="B15" s="3" t="s">
        <v>30</v>
      </c>
      <c r="C15" s="9">
        <v>6.4</v>
      </c>
      <c r="D15" s="3" t="s">
        <v>808</v>
      </c>
    </row>
    <row r="16" spans="1:4" ht="15" customHeight="1" x14ac:dyDescent="0.3">
      <c r="A16" s="3" t="s">
        <v>29</v>
      </c>
      <c r="B16" s="3" t="s">
        <v>30</v>
      </c>
      <c r="C16" s="9">
        <v>5.8</v>
      </c>
      <c r="D16" s="3" t="s">
        <v>809</v>
      </c>
    </row>
    <row r="17" spans="1:4" ht="15" customHeight="1" x14ac:dyDescent="0.3">
      <c r="A17" s="3" t="s">
        <v>29</v>
      </c>
      <c r="B17" s="3" t="s">
        <v>30</v>
      </c>
      <c r="C17" s="9">
        <v>5.5</v>
      </c>
      <c r="D17" s="3" t="s">
        <v>810</v>
      </c>
    </row>
    <row r="18" spans="1:4" ht="15" customHeight="1" x14ac:dyDescent="0.3">
      <c r="A18" s="3" t="s">
        <v>29</v>
      </c>
      <c r="B18" s="3" t="s">
        <v>30</v>
      </c>
      <c r="C18" s="9">
        <v>6</v>
      </c>
      <c r="D18" s="3" t="s">
        <v>811</v>
      </c>
    </row>
    <row r="19" spans="1:4" ht="15" customHeight="1" x14ac:dyDescent="0.3">
      <c r="A19" s="3" t="s">
        <v>29</v>
      </c>
      <c r="B19" s="3" t="s">
        <v>30</v>
      </c>
      <c r="C19" s="9">
        <v>7.4</v>
      </c>
      <c r="D19" s="3" t="s">
        <v>33</v>
      </c>
    </row>
    <row r="20" spans="1:4" ht="15" customHeight="1" x14ac:dyDescent="0.3">
      <c r="A20" s="3" t="s">
        <v>29</v>
      </c>
      <c r="B20" s="3" t="s">
        <v>30</v>
      </c>
      <c r="C20" s="9">
        <v>7.9</v>
      </c>
      <c r="D20" s="3" t="s">
        <v>812</v>
      </c>
    </row>
    <row r="21" spans="1:4" ht="15" customHeight="1" x14ac:dyDescent="0.3">
      <c r="A21" s="3" t="s">
        <v>29</v>
      </c>
      <c r="B21" s="3" t="s">
        <v>30</v>
      </c>
      <c r="C21" s="9">
        <v>5.5</v>
      </c>
      <c r="D21" s="3" t="s">
        <v>813</v>
      </c>
    </row>
    <row r="22" spans="1:4" ht="15" customHeight="1" x14ac:dyDescent="0.3">
      <c r="A22" s="3" t="s">
        <v>29</v>
      </c>
      <c r="B22" s="3" t="s">
        <v>30</v>
      </c>
      <c r="C22" s="9">
        <v>7.5</v>
      </c>
      <c r="D22" s="3" t="s">
        <v>31</v>
      </c>
    </row>
    <row r="23" spans="1:4" ht="15" customHeight="1" x14ac:dyDescent="0.3">
      <c r="A23" s="3" t="s">
        <v>29</v>
      </c>
      <c r="B23" s="3" t="s">
        <v>30</v>
      </c>
      <c r="C23" s="9">
        <v>6.6</v>
      </c>
      <c r="D23" s="3" t="s">
        <v>806</v>
      </c>
    </row>
    <row r="24" spans="1:4" ht="15" customHeight="1" x14ac:dyDescent="0.3">
      <c r="A24" s="3" t="s">
        <v>29</v>
      </c>
      <c r="B24" s="3" t="s">
        <v>30</v>
      </c>
      <c r="C24" s="9">
        <v>4.8</v>
      </c>
      <c r="D24" s="3" t="s">
        <v>807</v>
      </c>
    </row>
    <row r="25" spans="1:4" ht="15" customHeight="1" x14ac:dyDescent="0.3">
      <c r="A25" s="3" t="s">
        <v>29</v>
      </c>
      <c r="B25" s="3" t="s">
        <v>30</v>
      </c>
      <c r="C25" s="9">
        <v>5.6</v>
      </c>
      <c r="D25" s="3" t="s">
        <v>808</v>
      </c>
    </row>
    <row r="26" spans="1:4" ht="15" customHeight="1" x14ac:dyDescent="0.3">
      <c r="A26" s="3" t="s">
        <v>29</v>
      </c>
      <c r="B26" s="3" t="s">
        <v>30</v>
      </c>
      <c r="C26" s="9">
        <v>3.8</v>
      </c>
      <c r="D26" s="3" t="s">
        <v>809</v>
      </c>
    </row>
    <row r="27" spans="1:4" ht="15" customHeight="1" x14ac:dyDescent="0.3">
      <c r="A27" s="3" t="s">
        <v>29</v>
      </c>
      <c r="B27" s="3" t="s">
        <v>30</v>
      </c>
      <c r="C27" s="9">
        <v>3.3</v>
      </c>
      <c r="D27" s="3" t="s">
        <v>810</v>
      </c>
    </row>
    <row r="28" spans="1:4" ht="15" customHeight="1" x14ac:dyDescent="0.3">
      <c r="A28" s="3" t="s">
        <v>29</v>
      </c>
      <c r="B28" s="3" t="s">
        <v>30</v>
      </c>
      <c r="C28" s="9">
        <v>3.6</v>
      </c>
      <c r="D28" s="3" t="s">
        <v>811</v>
      </c>
    </row>
    <row r="29" spans="1:4" ht="15" customHeight="1" x14ac:dyDescent="0.3">
      <c r="A29" s="3" t="s">
        <v>29</v>
      </c>
      <c r="B29" s="3" t="s">
        <v>30</v>
      </c>
      <c r="C29" s="9">
        <v>7.9</v>
      </c>
      <c r="D29" s="3" t="s">
        <v>33</v>
      </c>
    </row>
    <row r="30" spans="1:4" ht="15" customHeight="1" x14ac:dyDescent="0.3">
      <c r="A30" s="3" t="s">
        <v>29</v>
      </c>
      <c r="B30" s="3" t="s">
        <v>30</v>
      </c>
      <c r="C30" s="9">
        <v>4.9000000000000004</v>
      </c>
      <c r="D30" s="3" t="s">
        <v>812</v>
      </c>
    </row>
    <row r="31" spans="1:4" ht="15" customHeight="1" x14ac:dyDescent="0.3">
      <c r="A31" s="3" t="s">
        <v>29</v>
      </c>
      <c r="B31" s="3" t="s">
        <v>30</v>
      </c>
      <c r="C31" s="9">
        <v>6.9</v>
      </c>
      <c r="D31" s="3" t="s">
        <v>813</v>
      </c>
    </row>
    <row r="32" spans="1:4" ht="15" customHeight="1" x14ac:dyDescent="0.3">
      <c r="A32" s="3" t="s">
        <v>29</v>
      </c>
      <c r="B32" s="3" t="s">
        <v>30</v>
      </c>
      <c r="C32" s="9">
        <v>5.8</v>
      </c>
      <c r="D32" s="3" t="s">
        <v>31</v>
      </c>
    </row>
    <row r="33" spans="1:4" ht="15" customHeight="1" x14ac:dyDescent="0.3">
      <c r="A33" s="3" t="s">
        <v>29</v>
      </c>
      <c r="B33" s="3" t="s">
        <v>30</v>
      </c>
      <c r="C33" s="9">
        <v>3.9</v>
      </c>
      <c r="D33" s="3" t="s">
        <v>806</v>
      </c>
    </row>
    <row r="34" spans="1:4" ht="15" customHeight="1" x14ac:dyDescent="0.3">
      <c r="A34" s="3" t="s">
        <v>29</v>
      </c>
      <c r="B34" s="3" t="s">
        <v>30</v>
      </c>
      <c r="C34" s="9">
        <v>4.4000000000000004</v>
      </c>
      <c r="D34" s="3" t="s">
        <v>807</v>
      </c>
    </row>
    <row r="35" spans="1:4" ht="15" customHeight="1" x14ac:dyDescent="0.3">
      <c r="A35" s="3" t="s">
        <v>29</v>
      </c>
      <c r="B35" s="3" t="s">
        <v>30</v>
      </c>
      <c r="C35" s="9">
        <v>5.4</v>
      </c>
      <c r="D35" s="3" t="s">
        <v>808</v>
      </c>
    </row>
    <row r="36" spans="1:4" ht="15" customHeight="1" x14ac:dyDescent="0.3">
      <c r="A36" s="3" t="s">
        <v>29</v>
      </c>
      <c r="B36" s="3" t="s">
        <v>30</v>
      </c>
      <c r="C36" s="9">
        <v>5.4</v>
      </c>
      <c r="D36" s="3" t="s">
        <v>809</v>
      </c>
    </row>
    <row r="37" spans="1:4" ht="15" customHeight="1" x14ac:dyDescent="0.3">
      <c r="A37" s="3" t="s">
        <v>29</v>
      </c>
      <c r="B37" s="3" t="s">
        <v>30</v>
      </c>
      <c r="C37" s="9">
        <v>5.9</v>
      </c>
      <c r="D37" s="3" t="s">
        <v>810</v>
      </c>
    </row>
    <row r="38" spans="1:4" ht="15" customHeight="1" x14ac:dyDescent="0.3">
      <c r="A38" s="3" t="s">
        <v>29</v>
      </c>
      <c r="B38" s="3" t="s">
        <v>30</v>
      </c>
      <c r="C38" s="9">
        <v>3.9</v>
      </c>
      <c r="D38" s="3" t="s">
        <v>811</v>
      </c>
    </row>
    <row r="39" spans="1:4" ht="15" customHeight="1" x14ac:dyDescent="0.3">
      <c r="A39" s="3" t="s">
        <v>29</v>
      </c>
      <c r="B39" s="3" t="s">
        <v>30</v>
      </c>
      <c r="C39" s="9">
        <v>5.0999999999999996</v>
      </c>
      <c r="D39" s="3" t="s">
        <v>33</v>
      </c>
    </row>
    <row r="40" spans="1:4" ht="15" customHeight="1" x14ac:dyDescent="0.3">
      <c r="A40" s="3" t="s">
        <v>29</v>
      </c>
      <c r="B40" s="3" t="s">
        <v>30</v>
      </c>
      <c r="C40" s="9">
        <v>4.5999999999999996</v>
      </c>
      <c r="D40" s="3" t="s">
        <v>812</v>
      </c>
    </row>
    <row r="41" spans="1:4" ht="15" customHeight="1" x14ac:dyDescent="0.3">
      <c r="A41" s="3" t="s">
        <v>29</v>
      </c>
      <c r="B41" s="3" t="s">
        <v>30</v>
      </c>
      <c r="C41" s="9">
        <v>5.2</v>
      </c>
      <c r="D41" s="3" t="s">
        <v>813</v>
      </c>
    </row>
    <row r="42" spans="1:4" ht="15" customHeight="1" x14ac:dyDescent="0.3">
      <c r="A42" s="3" t="s">
        <v>29</v>
      </c>
      <c r="B42" s="3" t="s">
        <v>30</v>
      </c>
      <c r="C42" s="9">
        <v>4.9000000000000004</v>
      </c>
      <c r="D42" s="3" t="s">
        <v>31</v>
      </c>
    </row>
    <row r="43" spans="1:4" ht="15" customHeight="1" x14ac:dyDescent="0.3">
      <c r="A43" s="3" t="s">
        <v>29</v>
      </c>
      <c r="B43" s="3" t="s">
        <v>30</v>
      </c>
      <c r="C43" s="9">
        <v>6.3</v>
      </c>
      <c r="D43" s="3" t="s">
        <v>806</v>
      </c>
    </row>
    <row r="44" spans="1:4" ht="15" customHeight="1" x14ac:dyDescent="0.3">
      <c r="A44" s="3" t="s">
        <v>29</v>
      </c>
      <c r="B44" s="3" t="s">
        <v>30</v>
      </c>
      <c r="C44" s="9">
        <v>7.3</v>
      </c>
      <c r="D44" s="3" t="s">
        <v>807</v>
      </c>
    </row>
    <row r="45" spans="1:4" ht="15" customHeight="1" x14ac:dyDescent="0.3">
      <c r="A45" s="3" t="s">
        <v>29</v>
      </c>
      <c r="B45" s="3" t="s">
        <v>30</v>
      </c>
      <c r="C45" s="9">
        <v>6.6</v>
      </c>
      <c r="D45" s="3" t="s">
        <v>808</v>
      </c>
    </row>
    <row r="46" spans="1:4" ht="15" customHeight="1" x14ac:dyDescent="0.3">
      <c r="A46" s="3" t="s">
        <v>29</v>
      </c>
      <c r="B46" s="3" t="s">
        <v>30</v>
      </c>
      <c r="C46" s="9">
        <v>3.4</v>
      </c>
      <c r="D46" s="3" t="s">
        <v>809</v>
      </c>
    </row>
    <row r="47" spans="1:4" ht="15" customHeight="1" x14ac:dyDescent="0.3">
      <c r="A47" s="3" t="s">
        <v>29</v>
      </c>
      <c r="B47" s="3" t="s">
        <v>30</v>
      </c>
      <c r="C47" s="9">
        <v>3.5</v>
      </c>
      <c r="D47" s="3" t="s">
        <v>810</v>
      </c>
    </row>
    <row r="48" spans="1:4" ht="15" customHeight="1" x14ac:dyDescent="0.3">
      <c r="A48" s="3" t="s">
        <v>29</v>
      </c>
      <c r="B48" s="3" t="s">
        <v>30</v>
      </c>
      <c r="C48" s="9">
        <v>6.7</v>
      </c>
      <c r="D48" s="3" t="s">
        <v>811</v>
      </c>
    </row>
    <row r="49" spans="1:4" ht="15" customHeight="1" x14ac:dyDescent="0.3">
      <c r="A49" s="3" t="s">
        <v>29</v>
      </c>
      <c r="B49" s="3" t="s">
        <v>30</v>
      </c>
      <c r="C49" s="9">
        <v>4.5999999999999996</v>
      </c>
      <c r="D49" s="3" t="s">
        <v>33</v>
      </c>
    </row>
    <row r="50" spans="1:4" ht="15" customHeight="1" x14ac:dyDescent="0.3">
      <c r="A50" s="3" t="s">
        <v>29</v>
      </c>
      <c r="B50" s="3" t="s">
        <v>30</v>
      </c>
      <c r="C50" s="9">
        <v>7</v>
      </c>
      <c r="D50" s="3" t="s">
        <v>812</v>
      </c>
    </row>
    <row r="51" spans="1:4" ht="15" customHeight="1" x14ac:dyDescent="0.3">
      <c r="A51" s="3" t="s">
        <v>29</v>
      </c>
      <c r="B51" s="3" t="s">
        <v>30</v>
      </c>
      <c r="C51" s="9">
        <v>6.6</v>
      </c>
      <c r="D51" s="3" t="s">
        <v>813</v>
      </c>
    </row>
    <row r="52" spans="1:4" ht="15" customHeight="1" x14ac:dyDescent="0.3">
      <c r="A52" s="3" t="s">
        <v>29</v>
      </c>
      <c r="B52" s="3" t="s">
        <v>30</v>
      </c>
      <c r="C52" s="9">
        <v>8</v>
      </c>
      <c r="D52" s="3" t="s">
        <v>31</v>
      </c>
    </row>
    <row r="53" spans="1:4" ht="15" customHeight="1" x14ac:dyDescent="0.3">
      <c r="A53" s="3" t="s">
        <v>29</v>
      </c>
      <c r="B53" s="3" t="s">
        <v>30</v>
      </c>
      <c r="C53" s="9">
        <v>7.8</v>
      </c>
      <c r="D53" s="3" t="s">
        <v>806</v>
      </c>
    </row>
    <row r="54" spans="1:4" ht="15" customHeight="1" x14ac:dyDescent="0.3">
      <c r="A54" s="3" t="s">
        <v>29</v>
      </c>
      <c r="B54" s="3" t="s">
        <v>30</v>
      </c>
      <c r="C54" s="9">
        <v>4.8</v>
      </c>
      <c r="D54" s="3" t="s">
        <v>807</v>
      </c>
    </row>
    <row r="55" spans="1:4" ht="15" customHeight="1" x14ac:dyDescent="0.3">
      <c r="A55" s="3" t="s">
        <v>29</v>
      </c>
      <c r="B55" s="3" t="s">
        <v>30</v>
      </c>
      <c r="C55" s="9">
        <v>6.2</v>
      </c>
      <c r="D55" s="3" t="s">
        <v>808</v>
      </c>
    </row>
    <row r="56" spans="1:4" ht="15" customHeight="1" x14ac:dyDescent="0.3">
      <c r="A56" s="3" t="s">
        <v>29</v>
      </c>
      <c r="B56" s="3" t="s">
        <v>30</v>
      </c>
      <c r="C56" s="9">
        <v>3.8</v>
      </c>
      <c r="D56" s="3" t="s">
        <v>809</v>
      </c>
    </row>
    <row r="57" spans="1:4" ht="15" customHeight="1" x14ac:dyDescent="0.3">
      <c r="A57" s="3" t="s">
        <v>29</v>
      </c>
      <c r="B57" s="3" t="s">
        <v>30</v>
      </c>
      <c r="C57" s="9">
        <v>4.9000000000000004</v>
      </c>
      <c r="D57" s="3" t="s">
        <v>810</v>
      </c>
    </row>
    <row r="58" spans="1:4" ht="15" customHeight="1" x14ac:dyDescent="0.3">
      <c r="A58" s="3" t="s">
        <v>29</v>
      </c>
      <c r="B58" s="3" t="s">
        <v>30</v>
      </c>
      <c r="C58" s="9">
        <v>8.3000000000000007</v>
      </c>
      <c r="D58" s="3" t="s">
        <v>811</v>
      </c>
    </row>
    <row r="59" spans="1:4" ht="15" customHeight="1" x14ac:dyDescent="0.3">
      <c r="A59" s="3" t="s">
        <v>29</v>
      </c>
      <c r="B59" s="3" t="s">
        <v>30</v>
      </c>
      <c r="C59" s="9">
        <v>6.8</v>
      </c>
      <c r="D59" s="3" t="s">
        <v>33</v>
      </c>
    </row>
    <row r="60" spans="1:4" ht="15" customHeight="1" x14ac:dyDescent="0.3">
      <c r="A60" s="3" t="s">
        <v>29</v>
      </c>
      <c r="B60" s="3" t="s">
        <v>30</v>
      </c>
      <c r="C60" s="9">
        <v>5.2</v>
      </c>
      <c r="D60" s="3" t="s">
        <v>812</v>
      </c>
    </row>
    <row r="61" spans="1:4" ht="15" customHeight="1" x14ac:dyDescent="0.3">
      <c r="A61" s="3" t="s">
        <v>29</v>
      </c>
      <c r="B61" s="3" t="s">
        <v>30</v>
      </c>
      <c r="C61" s="9">
        <v>6.3</v>
      </c>
      <c r="D61" s="3" t="s">
        <v>813</v>
      </c>
    </row>
    <row r="62" spans="1:4" ht="15" customHeight="1" x14ac:dyDescent="0.3">
      <c r="A62" s="3" t="s">
        <v>29</v>
      </c>
      <c r="B62" s="3" t="s">
        <v>30</v>
      </c>
      <c r="C62" s="9">
        <v>8.1999999999999993</v>
      </c>
      <c r="D62" s="3" t="s">
        <v>31</v>
      </c>
    </row>
    <row r="63" spans="1:4" ht="15" customHeight="1" x14ac:dyDescent="0.3">
      <c r="A63" s="3" t="s">
        <v>29</v>
      </c>
      <c r="B63" s="3" t="s">
        <v>30</v>
      </c>
      <c r="C63" s="9">
        <v>4.7</v>
      </c>
      <c r="D63" s="3" t="s">
        <v>806</v>
      </c>
    </row>
    <row r="64" spans="1:4" ht="15" customHeight="1" x14ac:dyDescent="0.3">
      <c r="A64" s="3" t="s">
        <v>29</v>
      </c>
      <c r="B64" s="3" t="s">
        <v>30</v>
      </c>
      <c r="C64" s="9">
        <v>5.0999999999999996</v>
      </c>
      <c r="D64" s="3" t="s">
        <v>807</v>
      </c>
    </row>
    <row r="65" spans="1:4" ht="15" customHeight="1" x14ac:dyDescent="0.3">
      <c r="A65" s="3" t="s">
        <v>29</v>
      </c>
      <c r="B65" s="3" t="s">
        <v>30</v>
      </c>
      <c r="C65" s="9">
        <v>7.4</v>
      </c>
      <c r="D65" s="3" t="s">
        <v>808</v>
      </c>
    </row>
    <row r="66" spans="1:4" ht="15" customHeight="1" x14ac:dyDescent="0.3">
      <c r="A66" s="3" t="s">
        <v>29</v>
      </c>
      <c r="B66" s="3" t="s">
        <v>30</v>
      </c>
      <c r="C66" s="9">
        <v>7.5</v>
      </c>
      <c r="D66" s="3" t="s">
        <v>809</v>
      </c>
    </row>
    <row r="67" spans="1:4" ht="15" customHeight="1" x14ac:dyDescent="0.3">
      <c r="A67" s="3" t="s">
        <v>29</v>
      </c>
      <c r="B67" s="3" t="s">
        <v>30</v>
      </c>
      <c r="C67" s="9">
        <v>6.7</v>
      </c>
      <c r="D67" s="3" t="s">
        <v>810</v>
      </c>
    </row>
    <row r="68" spans="1:4" ht="15" customHeight="1" x14ac:dyDescent="0.3">
      <c r="A68" s="3" t="s">
        <v>29</v>
      </c>
      <c r="B68" s="3" t="s">
        <v>30</v>
      </c>
      <c r="C68" s="9">
        <v>7.6</v>
      </c>
      <c r="D68" s="3" t="s">
        <v>811</v>
      </c>
    </row>
    <row r="69" spans="1:4" ht="15" customHeight="1" x14ac:dyDescent="0.3">
      <c r="A69" s="3" t="s">
        <v>29</v>
      </c>
      <c r="B69" s="3" t="s">
        <v>30</v>
      </c>
      <c r="C69" s="9">
        <v>7.1</v>
      </c>
      <c r="D69" s="3" t="s">
        <v>33</v>
      </c>
    </row>
    <row r="70" spans="1:4" ht="15" customHeight="1" x14ac:dyDescent="0.3">
      <c r="A70" s="3" t="s">
        <v>29</v>
      </c>
      <c r="B70" s="3" t="s">
        <v>30</v>
      </c>
      <c r="C70" s="9">
        <v>6.8</v>
      </c>
      <c r="D70" s="3" t="s">
        <v>812</v>
      </c>
    </row>
    <row r="71" spans="1:4" ht="15" customHeight="1" x14ac:dyDescent="0.3">
      <c r="A71" s="3" t="s">
        <v>29</v>
      </c>
      <c r="B71" s="3" t="s">
        <v>30</v>
      </c>
      <c r="C71" s="9">
        <v>5.9</v>
      </c>
      <c r="D71" s="3" t="s">
        <v>813</v>
      </c>
    </row>
    <row r="72" spans="1:4" ht="15" customHeight="1" x14ac:dyDescent="0.3">
      <c r="A72" s="3" t="s">
        <v>29</v>
      </c>
      <c r="B72" s="3" t="s">
        <v>30</v>
      </c>
      <c r="C72" s="9">
        <v>6.6</v>
      </c>
      <c r="D72" s="3" t="s">
        <v>31</v>
      </c>
    </row>
    <row r="73" spans="1:4" ht="15" customHeight="1" x14ac:dyDescent="0.3">
      <c r="A73" s="3" t="s">
        <v>29</v>
      </c>
      <c r="B73" s="3" t="s">
        <v>30</v>
      </c>
      <c r="C73" s="9">
        <v>5.3</v>
      </c>
      <c r="D73" s="3" t="s">
        <v>806</v>
      </c>
    </row>
    <row r="74" spans="1:4" ht="15" customHeight="1" x14ac:dyDescent="0.3">
      <c r="A74" s="3" t="s">
        <v>29</v>
      </c>
      <c r="B74" s="3" t="s">
        <v>30</v>
      </c>
      <c r="C74" s="9">
        <v>5</v>
      </c>
      <c r="D74" s="3" t="s">
        <v>807</v>
      </c>
    </row>
    <row r="75" spans="1:4" ht="15" customHeight="1" x14ac:dyDescent="0.3">
      <c r="A75" s="3" t="s">
        <v>29</v>
      </c>
      <c r="B75" s="3" t="s">
        <v>30</v>
      </c>
      <c r="C75" s="9">
        <v>5</v>
      </c>
      <c r="D75" s="3" t="s">
        <v>808</v>
      </c>
    </row>
    <row r="76" spans="1:4" ht="15" customHeight="1" x14ac:dyDescent="0.3">
      <c r="A76" s="3" t="s">
        <v>29</v>
      </c>
      <c r="B76" s="3" t="s">
        <v>30</v>
      </c>
      <c r="C76" s="9">
        <v>4</v>
      </c>
      <c r="D76" s="3" t="s">
        <v>809</v>
      </c>
    </row>
    <row r="77" spans="1:4" ht="15" customHeight="1" x14ac:dyDescent="0.3">
      <c r="A77" s="3" t="s">
        <v>29</v>
      </c>
      <c r="B77" s="3" t="s">
        <v>30</v>
      </c>
      <c r="C77" s="9">
        <v>4.2</v>
      </c>
      <c r="D77" s="3" t="s">
        <v>810</v>
      </c>
    </row>
    <row r="78" spans="1:4" ht="15" customHeight="1" x14ac:dyDescent="0.3">
      <c r="A78" s="3" t="s">
        <v>29</v>
      </c>
      <c r="B78" s="3" t="s">
        <v>30</v>
      </c>
      <c r="C78" s="9">
        <v>8.1999999999999993</v>
      </c>
      <c r="D78" s="3" t="s">
        <v>811</v>
      </c>
    </row>
    <row r="79" spans="1:4" ht="15" customHeight="1" x14ac:dyDescent="0.3">
      <c r="A79" s="3" t="s">
        <v>29</v>
      </c>
      <c r="B79" s="3" t="s">
        <v>30</v>
      </c>
      <c r="C79" s="9">
        <v>5.7</v>
      </c>
      <c r="D79" s="3" t="s">
        <v>33</v>
      </c>
    </row>
    <row r="80" spans="1:4" ht="15" customHeight="1" x14ac:dyDescent="0.3">
      <c r="A80" s="3" t="s">
        <v>29</v>
      </c>
      <c r="B80" s="3" t="s">
        <v>30</v>
      </c>
      <c r="C80" s="9">
        <v>4.2</v>
      </c>
      <c r="D80" s="3" t="s">
        <v>812</v>
      </c>
    </row>
    <row r="81" spans="1:4" ht="15" customHeight="1" x14ac:dyDescent="0.3">
      <c r="A81" s="3" t="s">
        <v>29</v>
      </c>
      <c r="B81" s="3" t="s">
        <v>30</v>
      </c>
      <c r="C81" s="9">
        <v>3.8</v>
      </c>
      <c r="D81" s="3" t="s">
        <v>813</v>
      </c>
    </row>
    <row r="82" spans="1:4" ht="15" customHeight="1" x14ac:dyDescent="0.3">
      <c r="A82" s="3" t="s">
        <v>29</v>
      </c>
      <c r="B82" s="3" t="s">
        <v>30</v>
      </c>
      <c r="C82" s="9">
        <v>3.4</v>
      </c>
      <c r="D82" s="3" t="s">
        <v>31</v>
      </c>
    </row>
    <row r="83" spans="1:4" ht="15" customHeight="1" x14ac:dyDescent="0.3">
      <c r="A83" s="3" t="s">
        <v>29</v>
      </c>
      <c r="B83" s="3" t="s">
        <v>30</v>
      </c>
      <c r="C83" s="9">
        <v>7.6</v>
      </c>
      <c r="D83" s="3" t="s">
        <v>806</v>
      </c>
    </row>
    <row r="84" spans="1:4" ht="15" customHeight="1" x14ac:dyDescent="0.3">
      <c r="A84" s="3" t="s">
        <v>29</v>
      </c>
      <c r="B84" s="3" t="s">
        <v>30</v>
      </c>
      <c r="C84" s="9">
        <v>3.6</v>
      </c>
      <c r="D84" s="3" t="s">
        <v>807</v>
      </c>
    </row>
    <row r="85" spans="1:4" ht="15" customHeight="1" x14ac:dyDescent="0.3">
      <c r="A85" s="3" t="s">
        <v>29</v>
      </c>
      <c r="B85" s="3" t="s">
        <v>30</v>
      </c>
      <c r="C85" s="9">
        <v>7.2</v>
      </c>
      <c r="D85" s="3" t="s">
        <v>808</v>
      </c>
    </row>
    <row r="86" spans="1:4" ht="15" customHeight="1" x14ac:dyDescent="0.3">
      <c r="A86" s="3" t="s">
        <v>29</v>
      </c>
      <c r="B86" s="3" t="s">
        <v>30</v>
      </c>
      <c r="C86" s="9">
        <v>7.6</v>
      </c>
      <c r="D86" s="3" t="s">
        <v>809</v>
      </c>
    </row>
    <row r="87" spans="1:4" ht="15" customHeight="1" x14ac:dyDescent="0.3">
      <c r="A87" s="3" t="s">
        <v>29</v>
      </c>
      <c r="B87" s="3" t="s">
        <v>30</v>
      </c>
      <c r="C87" s="9">
        <v>7.9</v>
      </c>
      <c r="D87" s="3" t="s">
        <v>810</v>
      </c>
    </row>
    <row r="88" spans="1:4" ht="15" customHeight="1" x14ac:dyDescent="0.3">
      <c r="A88" s="3" t="s">
        <v>29</v>
      </c>
      <c r="B88" s="3" t="s">
        <v>30</v>
      </c>
      <c r="C88" s="9">
        <v>3.2</v>
      </c>
      <c r="D88" s="3" t="s">
        <v>811</v>
      </c>
    </row>
    <row r="89" spans="1:4" ht="15" customHeight="1" x14ac:dyDescent="0.3">
      <c r="A89" s="3" t="s">
        <v>29</v>
      </c>
      <c r="B89" s="3" t="s">
        <v>30</v>
      </c>
      <c r="C89" s="9">
        <v>4.9000000000000004</v>
      </c>
      <c r="D89" s="3" t="s">
        <v>33</v>
      </c>
    </row>
    <row r="90" spans="1:4" ht="15" customHeight="1" x14ac:dyDescent="0.3">
      <c r="A90" s="3" t="s">
        <v>29</v>
      </c>
      <c r="B90" s="3" t="s">
        <v>30</v>
      </c>
      <c r="C90" s="9">
        <v>7.2</v>
      </c>
      <c r="D90" s="3" t="s">
        <v>812</v>
      </c>
    </row>
    <row r="91" spans="1:4" ht="15" customHeight="1" x14ac:dyDescent="0.3">
      <c r="A91" s="3" t="s">
        <v>29</v>
      </c>
      <c r="B91" s="3" t="s">
        <v>30</v>
      </c>
      <c r="C91" s="9">
        <v>3.7</v>
      </c>
      <c r="D91" s="3" t="s">
        <v>813</v>
      </c>
    </row>
    <row r="92" spans="1:4" ht="15" customHeight="1" x14ac:dyDescent="0.3">
      <c r="A92" s="3" t="s">
        <v>29</v>
      </c>
      <c r="B92" s="3" t="s">
        <v>30</v>
      </c>
      <c r="C92" s="9">
        <v>5.0999999999999996</v>
      </c>
      <c r="D92" s="3" t="s">
        <v>31</v>
      </c>
    </row>
    <row r="93" spans="1:4" ht="15" customHeight="1" x14ac:dyDescent="0.3">
      <c r="A93" s="3" t="s">
        <v>29</v>
      </c>
      <c r="B93" s="3" t="s">
        <v>30</v>
      </c>
      <c r="C93" s="9">
        <v>3.9</v>
      </c>
      <c r="D93" s="3" t="s">
        <v>806</v>
      </c>
    </row>
    <row r="94" spans="1:4" ht="15" customHeight="1" x14ac:dyDescent="0.3">
      <c r="A94" s="3" t="s">
        <v>29</v>
      </c>
      <c r="B94" s="3" t="s">
        <v>30</v>
      </c>
      <c r="C94" s="9">
        <v>7.6</v>
      </c>
      <c r="D94" s="3" t="s">
        <v>807</v>
      </c>
    </row>
    <row r="95" spans="1:4" ht="15" customHeight="1" x14ac:dyDescent="0.3">
      <c r="A95" s="3" t="s">
        <v>29</v>
      </c>
      <c r="B95" s="3" t="s">
        <v>30</v>
      </c>
      <c r="C95" s="9">
        <v>7.2</v>
      </c>
      <c r="D95" s="3" t="s">
        <v>808</v>
      </c>
    </row>
    <row r="96" spans="1:4" ht="15" customHeight="1" x14ac:dyDescent="0.3">
      <c r="A96" s="3" t="s">
        <v>29</v>
      </c>
      <c r="B96" s="3" t="s">
        <v>30</v>
      </c>
      <c r="C96" s="9">
        <v>7.4</v>
      </c>
      <c r="D96" s="3" t="s">
        <v>809</v>
      </c>
    </row>
    <row r="97" spans="1:4" ht="15" customHeight="1" x14ac:dyDescent="0.3">
      <c r="A97" s="3" t="s">
        <v>29</v>
      </c>
      <c r="B97" s="3" t="s">
        <v>30</v>
      </c>
      <c r="C97" s="9">
        <v>3.9</v>
      </c>
      <c r="D97" s="3" t="s">
        <v>810</v>
      </c>
    </row>
    <row r="98" spans="1:4" ht="15" customHeight="1" x14ac:dyDescent="0.3">
      <c r="A98" s="3" t="s">
        <v>29</v>
      </c>
      <c r="B98" s="3" t="s">
        <v>30</v>
      </c>
      <c r="C98" s="9">
        <v>5.4</v>
      </c>
      <c r="D98" s="3" t="s">
        <v>811</v>
      </c>
    </row>
    <row r="99" spans="1:4" ht="15" customHeight="1" x14ac:dyDescent="0.3">
      <c r="A99" s="3" t="s">
        <v>29</v>
      </c>
      <c r="B99" s="3" t="s">
        <v>30</v>
      </c>
      <c r="C99" s="9">
        <v>5.3</v>
      </c>
      <c r="D99" s="3" t="s">
        <v>33</v>
      </c>
    </row>
    <row r="100" spans="1:4" ht="15" customHeight="1" x14ac:dyDescent="0.3">
      <c r="A100" s="3" t="s">
        <v>29</v>
      </c>
      <c r="B100" s="3" t="s">
        <v>30</v>
      </c>
      <c r="C100" s="9">
        <v>6.7</v>
      </c>
      <c r="D100" s="3" t="s">
        <v>812</v>
      </c>
    </row>
    <row r="101" spans="1:4" ht="15" customHeight="1" x14ac:dyDescent="0.3">
      <c r="A101" s="3" t="s">
        <v>29</v>
      </c>
      <c r="B101" s="3" t="s">
        <v>30</v>
      </c>
      <c r="C101" s="9">
        <v>4.3</v>
      </c>
      <c r="D101" s="3" t="s">
        <v>813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8</vt:i4>
      </vt:variant>
    </vt:vector>
  </HeadingPairs>
  <TitlesOfParts>
    <vt:vector size="8" baseType="lpstr">
      <vt:lpstr>dataset</vt:lpstr>
      <vt:lpstr>goods</vt:lpstr>
      <vt:lpstr>category</vt:lpstr>
      <vt:lpstr>brand</vt:lpstr>
      <vt:lpstr>store</vt:lpstr>
      <vt:lpstr>calendar</vt:lpstr>
      <vt:lpstr>promotions</vt:lpstr>
      <vt:lpstr>marketplace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Антон Вовченко</cp:lastModifiedBy>
  <cp:revision>0</cp:revision>
  <dcterms:created xsi:type="dcterms:W3CDTF">2026-04-21T08:11:49Z</dcterms:created>
  <dcterms:modified xsi:type="dcterms:W3CDTF">2026-04-22T07:54:22Z</dcterms:modified>
  <dc:language>en-US</dc:language>
</cp:coreProperties>
</file>